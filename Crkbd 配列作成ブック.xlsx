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codes" sheetId="1" state="visible" r:id="rId3"/>
    <sheet name="YuhichYOC" sheetId="2" state="visible" r:id="rId4"/>
  </sheets>
  <definedNames>
    <definedName function="false" hidden="false" localSheetId="1" name="_xlnm.Print_Area" vbProcedure="false">YuhichYOC!$A$3:$O$44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吉井雄一</author>
  </authors>
  <commentList>
    <comment ref="D153" authorId="0">
      <text>
        <r>
          <rPr>
            <sz val="10"/>
            <rFont val="Arial"/>
            <family val="2"/>
          </rPr>
          <t xml:space="preserve">config </t>
        </r>
        <r>
          <rPr>
            <sz val="10"/>
            <rFont val="Noto Sans JP"/>
            <family val="2"/>
            <charset val="1"/>
          </rPr>
          <t xml:space="preserve">側で
</t>
        </r>
        <r>
          <rPr>
            <sz val="10"/>
            <rFont val="Arial"/>
            <family val="2"/>
            <charset val="1"/>
          </rPr>
          <t xml:space="preserve">#define TAPPING_TERM 150
#define PERMISSIVE_HOLD</t>
        </r>
      </text>
    </comment>
  </commentList>
</comments>
</file>

<file path=xl/sharedStrings.xml><?xml version="1.0" encoding="utf-8"?>
<sst xmlns="http://schemas.openxmlformats.org/spreadsheetml/2006/main" count="779" uniqueCount="328">
  <si>
    <t xml:space="preserve">日本語キー</t>
  </si>
  <si>
    <t xml:space="preserve">英語キー</t>
  </si>
  <si>
    <t xml:space="preserve">キーコード</t>
  </si>
  <si>
    <t xml:space="preserve">備考</t>
  </si>
  <si>
    <t xml:space="preserve">キーコードエイリアス</t>
  </si>
  <si>
    <t xml:space="preserve">NOOP</t>
  </si>
  <si>
    <t xml:space="preserve">XXXXXXX</t>
  </si>
  <si>
    <t xml:space="preserve">Transparent</t>
  </si>
  <si>
    <t xml:space="preserve">_______</t>
  </si>
  <si>
    <t xml:space="preserve">A</t>
  </si>
  <si>
    <t xml:space="preserve">KC_A</t>
  </si>
  <si>
    <t xml:space="preserve">B</t>
  </si>
  <si>
    <t xml:space="preserve">KC_B</t>
  </si>
  <si>
    <t xml:space="preserve">C</t>
  </si>
  <si>
    <t xml:space="preserve">KC_C</t>
  </si>
  <si>
    <t xml:space="preserve">D</t>
  </si>
  <si>
    <t xml:space="preserve">KC_D</t>
  </si>
  <si>
    <t xml:space="preserve">E</t>
  </si>
  <si>
    <t xml:space="preserve">KC_E</t>
  </si>
  <si>
    <t xml:space="preserve">F</t>
  </si>
  <si>
    <t xml:space="preserve">KC_F</t>
  </si>
  <si>
    <t xml:space="preserve">G</t>
  </si>
  <si>
    <t xml:space="preserve">KC_G</t>
  </si>
  <si>
    <t xml:space="preserve">H</t>
  </si>
  <si>
    <t xml:space="preserve">KC_H</t>
  </si>
  <si>
    <t xml:space="preserve">I</t>
  </si>
  <si>
    <t xml:space="preserve">KC_I</t>
  </si>
  <si>
    <t xml:space="preserve">J</t>
  </si>
  <si>
    <t xml:space="preserve">KC_J</t>
  </si>
  <si>
    <t xml:space="preserve">K</t>
  </si>
  <si>
    <t xml:space="preserve">KC_K</t>
  </si>
  <si>
    <t xml:space="preserve">L</t>
  </si>
  <si>
    <t xml:space="preserve">KC_L</t>
  </si>
  <si>
    <t xml:space="preserve">M</t>
  </si>
  <si>
    <t xml:space="preserve">KC_M</t>
  </si>
  <si>
    <t xml:space="preserve">N</t>
  </si>
  <si>
    <t xml:space="preserve">KC_N</t>
  </si>
  <si>
    <t xml:space="preserve">O</t>
  </si>
  <si>
    <t xml:space="preserve">KC_O</t>
  </si>
  <si>
    <t xml:space="preserve">P</t>
  </si>
  <si>
    <t xml:space="preserve">KC_P</t>
  </si>
  <si>
    <t xml:space="preserve">Q</t>
  </si>
  <si>
    <t xml:space="preserve">KC_Q</t>
  </si>
  <si>
    <t xml:space="preserve">R</t>
  </si>
  <si>
    <t xml:space="preserve">KC_R</t>
  </si>
  <si>
    <t xml:space="preserve">S</t>
  </si>
  <si>
    <t xml:space="preserve">KC_S</t>
  </si>
  <si>
    <t xml:space="preserve">T</t>
  </si>
  <si>
    <t xml:space="preserve">KC_T</t>
  </si>
  <si>
    <t xml:space="preserve">U</t>
  </si>
  <si>
    <t xml:space="preserve">KC_U</t>
  </si>
  <si>
    <t xml:space="preserve">V</t>
  </si>
  <si>
    <t xml:space="preserve">KC_V</t>
  </si>
  <si>
    <t xml:space="preserve">W</t>
  </si>
  <si>
    <t xml:space="preserve">KC_W</t>
  </si>
  <si>
    <t xml:space="preserve">X</t>
  </si>
  <si>
    <t xml:space="preserve">KC_X</t>
  </si>
  <si>
    <t xml:space="preserve">Y</t>
  </si>
  <si>
    <t xml:space="preserve">KC_Y</t>
  </si>
  <si>
    <t xml:space="preserve">Z</t>
  </si>
  <si>
    <t xml:space="preserve">KC_Z</t>
  </si>
  <si>
    <t xml:space="preserve">KC_1</t>
  </si>
  <si>
    <t xml:space="preserve">KC_2</t>
  </si>
  <si>
    <t xml:space="preserve">KC_3</t>
  </si>
  <si>
    <t xml:space="preserve">KC_4</t>
  </si>
  <si>
    <t xml:space="preserve">KC_5</t>
  </si>
  <si>
    <t xml:space="preserve">KC_6</t>
  </si>
  <si>
    <t xml:space="preserve">KC_7</t>
  </si>
  <si>
    <t xml:space="preserve">KC_8</t>
  </si>
  <si>
    <t xml:space="preserve">KC_9</t>
  </si>
  <si>
    <t xml:space="preserve">KC_0</t>
  </si>
  <si>
    <t xml:space="preserve">F1</t>
  </si>
  <si>
    <t xml:space="preserve">KC_F1</t>
  </si>
  <si>
    <t xml:space="preserve">F2</t>
  </si>
  <si>
    <t xml:space="preserve">KC_F2</t>
  </si>
  <si>
    <t xml:space="preserve">F3</t>
  </si>
  <si>
    <t xml:space="preserve">KC_F3</t>
  </si>
  <si>
    <t xml:space="preserve">F4</t>
  </si>
  <si>
    <t xml:space="preserve">KC_F4</t>
  </si>
  <si>
    <t xml:space="preserve">F5</t>
  </si>
  <si>
    <t xml:space="preserve">KC_F5</t>
  </si>
  <si>
    <t xml:space="preserve">F6</t>
  </si>
  <si>
    <t xml:space="preserve">KC_F6</t>
  </si>
  <si>
    <t xml:space="preserve">F7</t>
  </si>
  <si>
    <t xml:space="preserve">KC_F7</t>
  </si>
  <si>
    <t xml:space="preserve">F8</t>
  </si>
  <si>
    <t xml:space="preserve">KC_F8</t>
  </si>
  <si>
    <t xml:space="preserve">F9</t>
  </si>
  <si>
    <t xml:space="preserve">KC_F9</t>
  </si>
  <si>
    <t xml:space="preserve">F10</t>
  </si>
  <si>
    <t xml:space="preserve">KC_F10</t>
  </si>
  <si>
    <t xml:space="preserve">F11</t>
  </si>
  <si>
    <t xml:space="preserve">KC_F11</t>
  </si>
  <si>
    <t xml:space="preserve">F12</t>
  </si>
  <si>
    <t xml:space="preserve">KC_F12</t>
  </si>
  <si>
    <t xml:space="preserve">Enter</t>
  </si>
  <si>
    <t xml:space="preserve">KC_ENT</t>
  </si>
  <si>
    <t xml:space="preserve">Esc</t>
  </si>
  <si>
    <t xml:space="preserve">KC_ESC</t>
  </si>
  <si>
    <t xml:space="preserve">Backspace</t>
  </si>
  <si>
    <t xml:space="preserve">KC_BSPC</t>
  </si>
  <si>
    <t xml:space="preserve">Tab</t>
  </si>
  <si>
    <t xml:space="preserve">KC_TAB</t>
  </si>
  <si>
    <t xml:space="preserve">Space</t>
  </si>
  <si>
    <t xml:space="preserve">KC_SPC</t>
  </si>
  <si>
    <t xml:space="preserve">Delete</t>
  </si>
  <si>
    <t xml:space="preserve">KC_DEL</t>
  </si>
  <si>
    <t xml:space="preserve">Home</t>
  </si>
  <si>
    <t xml:space="preserve">KC_HOME</t>
  </si>
  <si>
    <t xml:space="preserve">Page Up</t>
  </si>
  <si>
    <t xml:space="preserve">KC_PGUP</t>
  </si>
  <si>
    <t xml:space="preserve">Page Down</t>
  </si>
  <si>
    <t xml:space="preserve">KC_PGDN</t>
  </si>
  <si>
    <t xml:space="preserve">End</t>
  </si>
  <si>
    <t xml:space="preserve">KC_END</t>
  </si>
  <si>
    <t xml:space="preserve">Left Arrow</t>
  </si>
  <si>
    <t xml:space="preserve">KC_LEFT</t>
  </si>
  <si>
    <t xml:space="preserve">Down Arrow</t>
  </si>
  <si>
    <t xml:space="preserve">KC_DOWN</t>
  </si>
  <si>
    <t xml:space="preserve">Up Arrow</t>
  </si>
  <si>
    <t xml:space="preserve">KC_UP</t>
  </si>
  <si>
    <t xml:space="preserve">Right Arrow</t>
  </si>
  <si>
    <t xml:space="preserve">KC_RGHT</t>
  </si>
  <si>
    <t xml:space="preserve">Left Control</t>
  </si>
  <si>
    <t xml:space="preserve">KC_LCTL</t>
  </si>
  <si>
    <t xml:space="preserve">Left Shift</t>
  </si>
  <si>
    <t xml:space="preserve">KC_LSFT</t>
  </si>
  <si>
    <t xml:space="preserve">Left Alt</t>
  </si>
  <si>
    <t xml:space="preserve">KC_LALT</t>
  </si>
  <si>
    <t xml:space="preserve">Left GUI</t>
  </si>
  <si>
    <t xml:space="preserve">KC_LGUI</t>
  </si>
  <si>
    <t xml:space="preserve">Windows</t>
  </si>
  <si>
    <t xml:space="preserve">Right Control</t>
  </si>
  <si>
    <t xml:space="preserve">KC_RCTL</t>
  </si>
  <si>
    <t xml:space="preserve">Right Shift</t>
  </si>
  <si>
    <t xml:space="preserve">KC_RSFT</t>
  </si>
  <si>
    <t xml:space="preserve">Right Alt</t>
  </si>
  <si>
    <t xml:space="preserve">KC_RALT</t>
  </si>
  <si>
    <t xml:space="preserve">Right GUI</t>
  </si>
  <si>
    <t xml:space="preserve">KC_RGUI</t>
  </si>
  <si>
    <t xml:space="preserve">APP</t>
  </si>
  <si>
    <t xml:space="preserve">KC_APP</t>
  </si>
  <si>
    <t xml:space="preserve">コンテキスト</t>
  </si>
  <si>
    <t xml:space="preserve">-</t>
  </si>
  <si>
    <t xml:space="preserve">KC_MINS</t>
  </si>
  <si>
    <t xml:space="preserve">@</t>
  </si>
  <si>
    <t xml:space="preserve">[</t>
  </si>
  <si>
    <t xml:space="preserve">KC_LBRC</t>
  </si>
  <si>
    <t xml:space="preserve">;</t>
  </si>
  <si>
    <t xml:space="preserve">KC_SCLN</t>
  </si>
  <si>
    <t xml:space="preserve">:</t>
  </si>
  <si>
    <t xml:space="preserve">'</t>
  </si>
  <si>
    <t xml:space="preserve">KC_QUOT</t>
  </si>
  <si>
    <t xml:space="preserve">,</t>
  </si>
  <si>
    <t xml:space="preserve">KC_COMM</t>
  </si>
  <si>
    <t xml:space="preserve">.</t>
  </si>
  <si>
    <t xml:space="preserve">KC_DOT</t>
  </si>
  <si>
    <t xml:space="preserve">/</t>
  </si>
  <si>
    <t xml:space="preserve">KC_SLSH</t>
  </si>
  <si>
    <t xml:space="preserve">\</t>
  </si>
  <si>
    <t xml:space="preserve">KC_RO</t>
  </si>
  <si>
    <t xml:space="preserve">アンダースコア</t>
  </si>
  <si>
    <t xml:space="preserve">KC_INT1</t>
  </si>
  <si>
    <t xml:space="preserve">]</t>
  </si>
  <si>
    <t xml:space="preserve">KC_RBRC</t>
  </si>
  <si>
    <t xml:space="preserve">KC_BSLS</t>
  </si>
  <si>
    <t xml:space="preserve">^</t>
  </si>
  <si>
    <t xml:space="preserve">=</t>
  </si>
  <si>
    <t xml:space="preserve">KC_EQL</t>
  </si>
  <si>
    <t xml:space="preserve">KC_JYEN</t>
  </si>
  <si>
    <t xml:space="preserve">パイプ</t>
  </si>
  <si>
    <t xml:space="preserve">KC_INT3</t>
  </si>
  <si>
    <t xml:space="preserve">半角/全角</t>
  </si>
  <si>
    <t xml:space="preserve">KC_GRV</t>
  </si>
  <si>
    <t xml:space="preserve">無変換</t>
  </si>
  <si>
    <t xml:space="preserve">KC_MHEN</t>
  </si>
  <si>
    <t xml:space="preserve">KC_INT5</t>
  </si>
  <si>
    <t xml:space="preserve">変換</t>
  </si>
  <si>
    <t xml:space="preserve">KC_HENK</t>
  </si>
  <si>
    <t xml:space="preserve">KC_INT4</t>
  </si>
  <si>
    <t xml:space="preserve">Volume Up</t>
  </si>
  <si>
    <t xml:space="preserve">KC_VOLU</t>
  </si>
  <si>
    <t xml:space="preserve">Volume Down</t>
  </si>
  <si>
    <t xml:space="preserve">KC_VOLD</t>
  </si>
  <si>
    <t xml:space="preserve">その他</t>
  </si>
  <si>
    <t xml:space="preserve">Print Screen</t>
  </si>
  <si>
    <t xml:space="preserve">KC_PSCR</t>
  </si>
  <si>
    <t xml:space="preserve">Windows Context</t>
  </si>
  <si>
    <t xml:space="preserve">Menu</t>
  </si>
  <si>
    <t xml:space="preserve">KC_MENU</t>
  </si>
  <si>
    <t xml:space="preserve">Select</t>
  </si>
  <si>
    <t xml:space="preserve">KC_SLCT</t>
  </si>
  <si>
    <t xml:space="preserve">Stop</t>
  </si>
  <si>
    <t xml:space="preserve">KC_STOP</t>
  </si>
  <si>
    <t xml:space="preserve">Again</t>
  </si>
  <si>
    <t xml:space="preserve">KC_AGIN</t>
  </si>
  <si>
    <t xml:space="preserve">Undo</t>
  </si>
  <si>
    <t xml:space="preserve">KC_UNDO</t>
  </si>
  <si>
    <t xml:space="preserve">Cut</t>
  </si>
  <si>
    <t xml:space="preserve">KC_CUT</t>
  </si>
  <si>
    <t xml:space="preserve">Copy</t>
  </si>
  <si>
    <t xml:space="preserve">KC_COPY</t>
  </si>
  <si>
    <t xml:space="preserve">Paste</t>
  </si>
  <si>
    <t xml:space="preserve">KC_PSTE</t>
  </si>
  <si>
    <t xml:space="preserve">Find</t>
  </si>
  <si>
    <t xml:space="preserve">KC_FIND</t>
  </si>
  <si>
    <t xml:space="preserve">C Undo</t>
  </si>
  <si>
    <t xml:space="preserve">C(KC_Z)</t>
  </si>
  <si>
    <t xml:space="preserve">C Cut</t>
  </si>
  <si>
    <t xml:space="preserve">C(KC_X)</t>
  </si>
  <si>
    <t xml:space="preserve">C Copy</t>
  </si>
  <si>
    <t xml:space="preserve">C(KC_C)</t>
  </si>
  <si>
    <t xml:space="preserve">C Paste</t>
  </si>
  <si>
    <t xml:space="preserve">C(KC_V)</t>
  </si>
  <si>
    <t xml:space="preserve">C Find</t>
  </si>
  <si>
    <t xml:space="preserve">C(KC_F)</t>
  </si>
  <si>
    <t xml:space="preserve">S !</t>
  </si>
  <si>
    <t xml:space="preserve">S(KC_1)</t>
  </si>
  <si>
    <t xml:space="preserve">S "</t>
  </si>
  <si>
    <t xml:space="preserve">S(KC_2)</t>
  </si>
  <si>
    <t xml:space="preserve">S #</t>
  </si>
  <si>
    <t xml:space="preserve">S(KC_3)</t>
  </si>
  <si>
    <t xml:space="preserve">S $</t>
  </si>
  <si>
    <t xml:space="preserve">S(KC_4)</t>
  </si>
  <si>
    <t xml:space="preserve">S %</t>
  </si>
  <si>
    <t xml:space="preserve">S(KC_5)</t>
  </si>
  <si>
    <t xml:space="preserve">S &amp;</t>
  </si>
  <si>
    <t xml:space="preserve">S(KC_6)</t>
  </si>
  <si>
    <t xml:space="preserve">S '</t>
  </si>
  <si>
    <t xml:space="preserve">S(KC_7)</t>
  </si>
  <si>
    <t xml:space="preserve">S (</t>
  </si>
  <si>
    <t xml:space="preserve">S(KC_8)</t>
  </si>
  <si>
    <t xml:space="preserve">S )</t>
  </si>
  <si>
    <t xml:space="preserve">S(KC_9)</t>
  </si>
  <si>
    <t xml:space="preserve">S =</t>
  </si>
  <si>
    <t xml:space="preserve">S(KC_MINS)</t>
  </si>
  <si>
    <t xml:space="preserve">S Tilde</t>
  </si>
  <si>
    <t xml:space="preserve">S(KC_EQL)</t>
  </si>
  <si>
    <t xml:space="preserve">~</t>
  </si>
  <si>
    <t xml:space="preserve">S |</t>
  </si>
  <si>
    <t xml:space="preserve">S(KC_JYEN)</t>
  </si>
  <si>
    <t xml:space="preserve">S(KC_INT3)</t>
  </si>
  <si>
    <t xml:space="preserve">S `</t>
  </si>
  <si>
    <t xml:space="preserve">S(KC_LBRC)</t>
  </si>
  <si>
    <t xml:space="preserve">S +</t>
  </si>
  <si>
    <t xml:space="preserve">S(KC_SCLN)</t>
  </si>
  <si>
    <t xml:space="preserve">S Ast</t>
  </si>
  <si>
    <t xml:space="preserve">S(KC_QUOT)</t>
  </si>
  <si>
    <t xml:space="preserve">*</t>
  </si>
  <si>
    <t xml:space="preserve">S &lt;</t>
  </si>
  <si>
    <t xml:space="preserve">S(KC_COMM)</t>
  </si>
  <si>
    <t xml:space="preserve">S &gt;</t>
  </si>
  <si>
    <t xml:space="preserve">S(KC_DOT)</t>
  </si>
  <si>
    <t xml:space="preserve">S Ques</t>
  </si>
  <si>
    <t xml:space="preserve">S(KC_SLSH)</t>
  </si>
  <si>
    <t xml:space="preserve">?</t>
  </si>
  <si>
    <t xml:space="preserve">S _</t>
  </si>
  <si>
    <t xml:space="preserve">S(KC_RO)</t>
  </si>
  <si>
    <t xml:space="preserve">S(KC_INT1)</t>
  </si>
  <si>
    <t xml:space="preserve">S {</t>
  </si>
  <si>
    <t xml:space="preserve">S(KC_RBRC)</t>
  </si>
  <si>
    <t xml:space="preserve">S }</t>
  </si>
  <si>
    <t xml:space="preserve">S(KC_BSLS)</t>
  </si>
  <si>
    <t xml:space="preserve">W &lt;</t>
  </si>
  <si>
    <t xml:space="preserve">SGUI(KC_LEFT)</t>
  </si>
  <si>
    <t xml:space="preserve">アクティブウィンドウを左のディスプレイへ移動</t>
  </si>
  <si>
    <t xml:space="preserve">W &gt;</t>
  </si>
  <si>
    <t xml:space="preserve">SGUI(KC_RIGHT)</t>
  </si>
  <si>
    <t xml:space="preserve">アクティブウィンドウを右のディスプレイへ移動</t>
  </si>
  <si>
    <t xml:space="preserve">TERM</t>
  </si>
  <si>
    <t xml:space="preserve">レイアウト定義の末尾</t>
  </si>
  <si>
    <t xml:space="preserve">NONE</t>
  </si>
  <si>
    <t xml:space="preserve">キーが存在しないセル</t>
  </si>
  <si>
    <t xml:space="preserve">マウスキー</t>
  </si>
  <si>
    <t xml:space="preserve">Wheel Up</t>
  </si>
  <si>
    <t xml:space="preserve">MS_WHLU</t>
  </si>
  <si>
    <t xml:space="preserve">Wheel Down</t>
  </si>
  <si>
    <t xml:space="preserve">MS_WHLD</t>
  </si>
  <si>
    <t xml:space="preserve">Wheel Left</t>
  </si>
  <si>
    <t xml:space="preserve">MS_WHLL</t>
  </si>
  <si>
    <t xml:space="preserve">Wheel Right</t>
  </si>
  <si>
    <t xml:space="preserve">MS_WHLR</t>
  </si>
  <si>
    <t xml:space="preserve">レイヤー</t>
  </si>
  <si>
    <t xml:space="preserve">MoLower</t>
  </si>
  <si>
    <t xml:space="preserve">MO_L</t>
  </si>
  <si>
    <t xml:space="preserve">#define MO_L MO(_LOWER)</t>
  </si>
  <si>
    <t xml:space="preserve">MoRaise</t>
  </si>
  <si>
    <t xml:space="preserve">MO_R</t>
  </si>
  <si>
    <t xml:space="preserve">#define MO_R MO(_RAISE)</t>
  </si>
  <si>
    <t xml:space="preserve">ToggleLower</t>
  </si>
  <si>
    <t xml:space="preserve">TG_L</t>
  </si>
  <si>
    <t xml:space="preserve">#define TG_L TG(_LOWER)</t>
  </si>
  <si>
    <t xml:space="preserve">ToggleRaise</t>
  </si>
  <si>
    <t xml:space="preserve">TG_R</t>
  </si>
  <si>
    <t xml:space="preserve">#define TG_R TG(_RAISE)</t>
  </si>
  <si>
    <t xml:space="preserve">MoLowerAdjust</t>
  </si>
  <si>
    <t xml:space="preserve">MO_LA</t>
  </si>
  <si>
    <t xml:space="preserve">#define MO_L MO(_LOWER_ADJUST)</t>
  </si>
  <si>
    <t xml:space="preserve">MoRaiseAdjust</t>
  </si>
  <si>
    <t xml:space="preserve">MO_RA</t>
  </si>
  <si>
    <t xml:space="preserve">#define MO_R MO(_RAISE_ADJUST)</t>
  </si>
  <si>
    <t xml:space="preserve">長押し</t>
  </si>
  <si>
    <t xml:space="preserve">Shift &amp; Enter</t>
  </si>
  <si>
    <t xml:space="preserve">RSTF_ENT</t>
  </si>
  <si>
    <t xml:space="preserve">#define LSFT_SPC LSFT_T(KC_SPC)</t>
  </si>
  <si>
    <t xml:space="preserve">Shift &amp; Space</t>
  </si>
  <si>
    <t xml:space="preserve">LSFT_SPC</t>
  </si>
  <si>
    <t xml:space="preserve">#define RSTF_ENT RSFT_T(KC_ENT)</t>
  </si>
  <si>
    <t xml:space="preserve">タップダンス</t>
  </si>
  <si>
    <t xml:space="preserve">Tap dance Lower</t>
  </si>
  <si>
    <t xml:space="preserve">TD_TL</t>
  </si>
  <si>
    <t xml:space="preserve">enum {
  TD_TO_LOWER = 0,
};
#define TD_TL TD(TD_TO_LOWER)</t>
  </si>
  <si>
    <t xml:space="preserve">Tap dance Raise</t>
  </si>
  <si>
    <t xml:space="preserve">TD_TR</t>
  </si>
  <si>
    <t xml:space="preserve">enum {
  TD_TO_RAISE = 0,
};
#define TD_TL TD(TD_TO_RAISE)</t>
  </si>
  <si>
    <t xml:space="preserve">Japanese</t>
  </si>
  <si>
    <t xml:space="preserve">DEFAULT</t>
  </si>
  <si>
    <t xml:space="preserve">LOWER</t>
  </si>
  <si>
    <t xml:space="preserve">RAISE</t>
  </si>
  <si>
    <t xml:space="preserve">ADJUST</t>
  </si>
  <si>
    <t xml:space="preserve">LOWER_ADJUST</t>
  </si>
  <si>
    <t xml:space="preserve">RAISE_ADJUST</t>
  </si>
  <si>
    <t xml:space="preserve">[_QWERTY] = LAYOUT_split_3x6_3(</t>
  </si>
  <si>
    <t xml:space="preserve">[_LOWER] = LAYOUT_split_3x6_3(</t>
  </si>
  <si>
    <t xml:space="preserve">[_RAISE] = LAYOUT_split_3x6_3(</t>
  </si>
  <si>
    <t xml:space="preserve">[_ADJUST] = LAYOUT_split_3x6_3(</t>
  </si>
  <si>
    <t xml:space="preserve">[_LOWER_ADJUST] = LAYOUT_split_3x6_3(</t>
  </si>
  <si>
    <t xml:space="preserve">[_RAISE_ADJUST] = LAYOUT_split_3x6_3(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</si>
</sst>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游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游ゴシック"/>
      <family val="2"/>
      <charset val="1"/>
    </font>
    <font>
      <sz val="10"/>
      <name val="Arial"/>
      <family val="2"/>
    </font>
    <font>
      <sz val="10"/>
      <name val="Noto Sans JP"/>
      <family val="2"/>
      <charset val="1"/>
    </font>
    <font>
      <sz val="10"/>
      <name val="Arial"/>
      <family val="2"/>
      <charset val="1"/>
    </font>
    <font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theme="8" tint="0.5999"/>
        <bgColor rgb="FFC5E0B4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dotted"/>
      <top style="thin"/>
      <bottom style="hair"/>
      <diagonal/>
    </border>
    <border diagonalUp="false" diagonalDown="false">
      <left style="dotted"/>
      <right style="dotted"/>
      <top style="thin"/>
      <bottom style="hair"/>
      <diagonal/>
    </border>
    <border diagonalUp="false" diagonalDown="false">
      <left style="dotted"/>
      <right style="thin"/>
      <top style="thin"/>
      <bottom style="hair"/>
      <diagonal/>
    </border>
    <border diagonalUp="false" diagonalDown="false">
      <left style="thin"/>
      <right style="dotted"/>
      <top style="hair"/>
      <bottom style="hair"/>
      <diagonal/>
    </border>
    <border diagonalUp="false" diagonalDown="false">
      <left style="dotted"/>
      <right style="dotted"/>
      <top style="hair"/>
      <bottom style="hair"/>
      <diagonal/>
    </border>
    <border diagonalUp="false" diagonalDown="false">
      <left style="dotted"/>
      <right style="thin"/>
      <top style="hair"/>
      <bottom style="hair"/>
      <diagonal/>
    </border>
    <border diagonalUp="false" diagonalDown="false">
      <left style="dotted"/>
      <right style="dotted"/>
      <top style="hair"/>
      <bottom/>
      <diagonal/>
    </border>
    <border diagonalUp="false" diagonalDown="false">
      <left style="dotted"/>
      <right style="thin"/>
      <top style="hair"/>
      <bottom/>
      <diagonal/>
    </border>
    <border diagonalUp="false" diagonalDown="false">
      <left style="thin"/>
      <right style="dotted"/>
      <top style="hair"/>
      <bottom style="thin"/>
      <diagonal/>
    </border>
    <border diagonalUp="false" diagonalDown="false">
      <left style="dotted"/>
      <right style="dotted"/>
      <top style="hair"/>
      <bottom style="thin"/>
      <diagonal/>
    </border>
    <border diagonalUp="false" diagonalDown="false">
      <left style="dotted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dotted"/>
      <top style="hair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6.5" customHeight="true" zeroHeight="false" outlineLevelRow="0" outlineLevelCol="0"/>
  <cols>
    <col collapsed="false" customWidth="true" hidden="false" outlineLevel="0" max="2" min="1" style="1" width="15.26"/>
    <col collapsed="false" customWidth="true" hidden="false" outlineLevel="0" max="3" min="3" style="1" width="22"/>
    <col collapsed="false" customWidth="true" hidden="false" outlineLevel="0" max="4" min="4" style="1" width="39.62"/>
    <col collapsed="false" customWidth="true" hidden="false" outlineLevel="0" max="5" min="5" style="1" width="18.63"/>
    <col collapsed="false" customWidth="false" hidden="false" outlineLevel="0" max="16384" min="6" style="1" width="9"/>
  </cols>
  <sheetData>
    <row r="1" customFormat="false" ht="16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6.5" hidden="false" customHeight="false" outlineLevel="0" collapsed="false">
      <c r="A2" s="5" t="s">
        <v>5</v>
      </c>
      <c r="B2" s="6" t="s">
        <v>5</v>
      </c>
      <c r="C2" s="6" t="s">
        <v>6</v>
      </c>
      <c r="D2" s="7"/>
      <c r="E2" s="8"/>
    </row>
    <row r="3" customFormat="false" ht="16.5" hidden="false" customHeight="false" outlineLevel="0" collapsed="false">
      <c r="A3" s="5" t="s">
        <v>7</v>
      </c>
      <c r="B3" s="6" t="s">
        <v>7</v>
      </c>
      <c r="C3" s="6" t="s">
        <v>8</v>
      </c>
      <c r="D3" s="7"/>
      <c r="E3" s="8"/>
    </row>
    <row r="4" customFormat="false" ht="16.5" hidden="false" customHeight="false" outlineLevel="0" collapsed="false">
      <c r="A4" s="5" t="s">
        <v>9</v>
      </c>
      <c r="B4" s="6" t="s">
        <v>9</v>
      </c>
      <c r="C4" s="6" t="s">
        <v>10</v>
      </c>
      <c r="D4" s="7"/>
      <c r="E4" s="8"/>
    </row>
    <row r="5" customFormat="false" ht="16.5" hidden="false" customHeight="false" outlineLevel="0" collapsed="false">
      <c r="A5" s="5" t="s">
        <v>11</v>
      </c>
      <c r="B5" s="6" t="s">
        <v>11</v>
      </c>
      <c r="C5" s="6" t="s">
        <v>12</v>
      </c>
      <c r="D5" s="7"/>
      <c r="E5" s="8"/>
    </row>
    <row r="6" customFormat="false" ht="16.5" hidden="false" customHeight="false" outlineLevel="0" collapsed="false">
      <c r="A6" s="5" t="s">
        <v>13</v>
      </c>
      <c r="B6" s="6" t="s">
        <v>13</v>
      </c>
      <c r="C6" s="6" t="s">
        <v>14</v>
      </c>
      <c r="D6" s="7"/>
      <c r="E6" s="8"/>
    </row>
    <row r="7" customFormat="false" ht="16.5" hidden="false" customHeight="false" outlineLevel="0" collapsed="false">
      <c r="A7" s="5" t="s">
        <v>15</v>
      </c>
      <c r="B7" s="6" t="s">
        <v>15</v>
      </c>
      <c r="C7" s="6" t="s">
        <v>16</v>
      </c>
      <c r="D7" s="7"/>
      <c r="E7" s="8"/>
    </row>
    <row r="8" customFormat="false" ht="16.5" hidden="false" customHeight="false" outlineLevel="0" collapsed="false">
      <c r="A8" s="5" t="s">
        <v>17</v>
      </c>
      <c r="B8" s="6" t="s">
        <v>17</v>
      </c>
      <c r="C8" s="6" t="s">
        <v>18</v>
      </c>
      <c r="D8" s="7"/>
      <c r="E8" s="8"/>
    </row>
    <row r="9" customFormat="false" ht="16.5" hidden="false" customHeight="false" outlineLevel="0" collapsed="false">
      <c r="A9" s="5" t="s">
        <v>19</v>
      </c>
      <c r="B9" s="6" t="s">
        <v>19</v>
      </c>
      <c r="C9" s="6" t="s">
        <v>20</v>
      </c>
      <c r="D9" s="7"/>
      <c r="E9" s="8"/>
    </row>
    <row r="10" customFormat="false" ht="16.5" hidden="false" customHeight="false" outlineLevel="0" collapsed="false">
      <c r="A10" s="5" t="s">
        <v>21</v>
      </c>
      <c r="B10" s="6" t="s">
        <v>21</v>
      </c>
      <c r="C10" s="6" t="s">
        <v>22</v>
      </c>
      <c r="D10" s="7"/>
      <c r="E10" s="8"/>
    </row>
    <row r="11" customFormat="false" ht="16.5" hidden="false" customHeight="false" outlineLevel="0" collapsed="false">
      <c r="A11" s="5" t="s">
        <v>23</v>
      </c>
      <c r="B11" s="6" t="s">
        <v>23</v>
      </c>
      <c r="C11" s="6" t="s">
        <v>24</v>
      </c>
      <c r="D11" s="7"/>
      <c r="E11" s="8"/>
    </row>
    <row r="12" customFormat="false" ht="16.5" hidden="false" customHeight="false" outlineLevel="0" collapsed="false">
      <c r="A12" s="5" t="s">
        <v>25</v>
      </c>
      <c r="B12" s="6" t="s">
        <v>25</v>
      </c>
      <c r="C12" s="6" t="s">
        <v>26</v>
      </c>
      <c r="D12" s="7"/>
      <c r="E12" s="8"/>
    </row>
    <row r="13" customFormat="false" ht="16.5" hidden="false" customHeight="false" outlineLevel="0" collapsed="false">
      <c r="A13" s="5" t="s">
        <v>27</v>
      </c>
      <c r="B13" s="6" t="s">
        <v>27</v>
      </c>
      <c r="C13" s="6" t="s">
        <v>28</v>
      </c>
      <c r="D13" s="7"/>
      <c r="E13" s="8"/>
    </row>
    <row r="14" customFormat="false" ht="16.5" hidden="false" customHeight="false" outlineLevel="0" collapsed="false">
      <c r="A14" s="5" t="s">
        <v>29</v>
      </c>
      <c r="B14" s="6" t="s">
        <v>29</v>
      </c>
      <c r="C14" s="6" t="s">
        <v>30</v>
      </c>
      <c r="D14" s="7"/>
      <c r="E14" s="8"/>
    </row>
    <row r="15" customFormat="false" ht="16.5" hidden="false" customHeight="false" outlineLevel="0" collapsed="false">
      <c r="A15" s="5" t="s">
        <v>31</v>
      </c>
      <c r="B15" s="6" t="s">
        <v>31</v>
      </c>
      <c r="C15" s="6" t="s">
        <v>32</v>
      </c>
      <c r="D15" s="7"/>
      <c r="E15" s="8"/>
    </row>
    <row r="16" customFormat="false" ht="16.5" hidden="false" customHeight="false" outlineLevel="0" collapsed="false">
      <c r="A16" s="5" t="s">
        <v>33</v>
      </c>
      <c r="B16" s="6" t="s">
        <v>33</v>
      </c>
      <c r="C16" s="6" t="s">
        <v>34</v>
      </c>
      <c r="D16" s="7"/>
      <c r="E16" s="8"/>
    </row>
    <row r="17" customFormat="false" ht="16.5" hidden="false" customHeight="false" outlineLevel="0" collapsed="false">
      <c r="A17" s="5" t="s">
        <v>35</v>
      </c>
      <c r="B17" s="6" t="s">
        <v>35</v>
      </c>
      <c r="C17" s="6" t="s">
        <v>36</v>
      </c>
      <c r="D17" s="7"/>
      <c r="E17" s="8"/>
    </row>
    <row r="18" customFormat="false" ht="16.5" hidden="false" customHeight="false" outlineLevel="0" collapsed="false">
      <c r="A18" s="5" t="s">
        <v>37</v>
      </c>
      <c r="B18" s="6" t="s">
        <v>37</v>
      </c>
      <c r="C18" s="6" t="s">
        <v>38</v>
      </c>
      <c r="D18" s="7"/>
      <c r="E18" s="8"/>
    </row>
    <row r="19" customFormat="false" ht="16.5" hidden="false" customHeight="false" outlineLevel="0" collapsed="false">
      <c r="A19" s="5" t="s">
        <v>39</v>
      </c>
      <c r="B19" s="6" t="s">
        <v>39</v>
      </c>
      <c r="C19" s="6" t="s">
        <v>40</v>
      </c>
      <c r="D19" s="7"/>
      <c r="E19" s="8"/>
    </row>
    <row r="20" customFormat="false" ht="16.5" hidden="false" customHeight="false" outlineLevel="0" collapsed="false">
      <c r="A20" s="5" t="s">
        <v>41</v>
      </c>
      <c r="B20" s="6" t="s">
        <v>41</v>
      </c>
      <c r="C20" s="6" t="s">
        <v>42</v>
      </c>
      <c r="D20" s="7"/>
      <c r="E20" s="8"/>
    </row>
    <row r="21" customFormat="false" ht="16.5" hidden="false" customHeight="false" outlineLevel="0" collapsed="false">
      <c r="A21" s="5" t="s">
        <v>43</v>
      </c>
      <c r="B21" s="6" t="s">
        <v>43</v>
      </c>
      <c r="C21" s="6" t="s">
        <v>44</v>
      </c>
      <c r="D21" s="7"/>
      <c r="E21" s="8"/>
    </row>
    <row r="22" customFormat="false" ht="16.5" hidden="false" customHeight="false" outlineLevel="0" collapsed="false">
      <c r="A22" s="5" t="s">
        <v>45</v>
      </c>
      <c r="B22" s="6" t="s">
        <v>45</v>
      </c>
      <c r="C22" s="6" t="s">
        <v>46</v>
      </c>
      <c r="D22" s="7"/>
      <c r="E22" s="8"/>
    </row>
    <row r="23" customFormat="false" ht="16.5" hidden="false" customHeight="false" outlineLevel="0" collapsed="false">
      <c r="A23" s="5" t="s">
        <v>47</v>
      </c>
      <c r="B23" s="6" t="s">
        <v>47</v>
      </c>
      <c r="C23" s="6" t="s">
        <v>48</v>
      </c>
      <c r="D23" s="7"/>
      <c r="E23" s="8"/>
    </row>
    <row r="24" customFormat="false" ht="16.5" hidden="false" customHeight="false" outlineLevel="0" collapsed="false">
      <c r="A24" s="5" t="s">
        <v>49</v>
      </c>
      <c r="B24" s="6" t="s">
        <v>49</v>
      </c>
      <c r="C24" s="6" t="s">
        <v>50</v>
      </c>
      <c r="D24" s="7"/>
      <c r="E24" s="8"/>
    </row>
    <row r="25" customFormat="false" ht="16.5" hidden="false" customHeight="false" outlineLevel="0" collapsed="false">
      <c r="A25" s="5" t="s">
        <v>51</v>
      </c>
      <c r="B25" s="6" t="s">
        <v>51</v>
      </c>
      <c r="C25" s="6" t="s">
        <v>52</v>
      </c>
      <c r="D25" s="7"/>
      <c r="E25" s="8"/>
    </row>
    <row r="26" customFormat="false" ht="16.5" hidden="false" customHeight="false" outlineLevel="0" collapsed="false">
      <c r="A26" s="5" t="s">
        <v>53</v>
      </c>
      <c r="B26" s="6" t="s">
        <v>53</v>
      </c>
      <c r="C26" s="6" t="s">
        <v>54</v>
      </c>
      <c r="D26" s="7"/>
      <c r="E26" s="8"/>
    </row>
    <row r="27" customFormat="false" ht="16.5" hidden="false" customHeight="false" outlineLevel="0" collapsed="false">
      <c r="A27" s="5" t="s">
        <v>55</v>
      </c>
      <c r="B27" s="6" t="s">
        <v>55</v>
      </c>
      <c r="C27" s="6" t="s">
        <v>56</v>
      </c>
      <c r="D27" s="7"/>
      <c r="E27" s="8"/>
    </row>
    <row r="28" customFormat="false" ht="16.5" hidden="false" customHeight="false" outlineLevel="0" collapsed="false">
      <c r="A28" s="5" t="s">
        <v>57</v>
      </c>
      <c r="B28" s="6" t="s">
        <v>57</v>
      </c>
      <c r="C28" s="6" t="s">
        <v>58</v>
      </c>
      <c r="D28" s="7"/>
      <c r="E28" s="8"/>
    </row>
    <row r="29" customFormat="false" ht="16.5" hidden="false" customHeight="false" outlineLevel="0" collapsed="false">
      <c r="A29" s="5" t="s">
        <v>59</v>
      </c>
      <c r="B29" s="6" t="s">
        <v>59</v>
      </c>
      <c r="C29" s="6" t="s">
        <v>60</v>
      </c>
      <c r="D29" s="7"/>
      <c r="E29" s="8"/>
    </row>
    <row r="30" customFormat="false" ht="16.5" hidden="false" customHeight="false" outlineLevel="0" collapsed="false">
      <c r="A30" s="5" t="n">
        <v>1</v>
      </c>
      <c r="B30" s="6" t="n">
        <v>1</v>
      </c>
      <c r="C30" s="6" t="s">
        <v>61</v>
      </c>
      <c r="D30" s="7"/>
      <c r="E30" s="8"/>
    </row>
    <row r="31" customFormat="false" ht="16.5" hidden="false" customHeight="false" outlineLevel="0" collapsed="false">
      <c r="A31" s="5" t="n">
        <v>2</v>
      </c>
      <c r="B31" s="6" t="n">
        <v>2</v>
      </c>
      <c r="C31" s="6" t="s">
        <v>62</v>
      </c>
      <c r="D31" s="7"/>
      <c r="E31" s="8"/>
    </row>
    <row r="32" customFormat="false" ht="16.5" hidden="false" customHeight="false" outlineLevel="0" collapsed="false">
      <c r="A32" s="5" t="n">
        <v>3</v>
      </c>
      <c r="B32" s="6" t="n">
        <v>3</v>
      </c>
      <c r="C32" s="6" t="s">
        <v>63</v>
      </c>
      <c r="D32" s="7"/>
      <c r="E32" s="8"/>
    </row>
    <row r="33" customFormat="false" ht="16.5" hidden="false" customHeight="false" outlineLevel="0" collapsed="false">
      <c r="A33" s="5" t="n">
        <v>4</v>
      </c>
      <c r="B33" s="6" t="n">
        <v>4</v>
      </c>
      <c r="C33" s="6" t="s">
        <v>64</v>
      </c>
      <c r="D33" s="7"/>
      <c r="E33" s="8"/>
    </row>
    <row r="34" customFormat="false" ht="16.5" hidden="false" customHeight="false" outlineLevel="0" collapsed="false">
      <c r="A34" s="5" t="n">
        <v>5</v>
      </c>
      <c r="B34" s="6" t="n">
        <v>5</v>
      </c>
      <c r="C34" s="6" t="s">
        <v>65</v>
      </c>
      <c r="D34" s="7"/>
      <c r="E34" s="8"/>
    </row>
    <row r="35" customFormat="false" ht="16.5" hidden="false" customHeight="false" outlineLevel="0" collapsed="false">
      <c r="A35" s="5" t="n">
        <v>6</v>
      </c>
      <c r="B35" s="6" t="n">
        <v>6</v>
      </c>
      <c r="C35" s="6" t="s">
        <v>66</v>
      </c>
      <c r="D35" s="7"/>
      <c r="E35" s="8"/>
    </row>
    <row r="36" customFormat="false" ht="16.5" hidden="false" customHeight="false" outlineLevel="0" collapsed="false">
      <c r="A36" s="5" t="n">
        <v>7</v>
      </c>
      <c r="B36" s="6" t="n">
        <v>7</v>
      </c>
      <c r="C36" s="6" t="s">
        <v>67</v>
      </c>
      <c r="D36" s="7"/>
      <c r="E36" s="8"/>
    </row>
    <row r="37" customFormat="false" ht="16.5" hidden="false" customHeight="false" outlineLevel="0" collapsed="false">
      <c r="A37" s="5" t="n">
        <v>8</v>
      </c>
      <c r="B37" s="6" t="n">
        <v>8</v>
      </c>
      <c r="C37" s="6" t="s">
        <v>68</v>
      </c>
      <c r="D37" s="7"/>
      <c r="E37" s="8"/>
    </row>
    <row r="38" customFormat="false" ht="16.5" hidden="false" customHeight="false" outlineLevel="0" collapsed="false">
      <c r="A38" s="5" t="n">
        <v>9</v>
      </c>
      <c r="B38" s="6" t="n">
        <v>9</v>
      </c>
      <c r="C38" s="6" t="s">
        <v>69</v>
      </c>
      <c r="D38" s="7"/>
      <c r="E38" s="8"/>
    </row>
    <row r="39" customFormat="false" ht="16.5" hidden="false" customHeight="false" outlineLevel="0" collapsed="false">
      <c r="A39" s="5" t="n">
        <v>0</v>
      </c>
      <c r="B39" s="6" t="n">
        <v>0</v>
      </c>
      <c r="C39" s="6" t="s">
        <v>70</v>
      </c>
      <c r="D39" s="7"/>
      <c r="E39" s="8"/>
    </row>
    <row r="40" customFormat="false" ht="16.5" hidden="false" customHeight="false" outlineLevel="0" collapsed="false">
      <c r="A40" s="5" t="s">
        <v>71</v>
      </c>
      <c r="B40" s="6" t="s">
        <v>71</v>
      </c>
      <c r="C40" s="6" t="s">
        <v>72</v>
      </c>
      <c r="D40" s="7"/>
      <c r="E40" s="8"/>
    </row>
    <row r="41" customFormat="false" ht="16.5" hidden="false" customHeight="false" outlineLevel="0" collapsed="false">
      <c r="A41" s="5" t="s">
        <v>73</v>
      </c>
      <c r="B41" s="6" t="s">
        <v>73</v>
      </c>
      <c r="C41" s="6" t="s">
        <v>74</v>
      </c>
      <c r="D41" s="7"/>
      <c r="E41" s="8"/>
    </row>
    <row r="42" customFormat="false" ht="16.5" hidden="false" customHeight="false" outlineLevel="0" collapsed="false">
      <c r="A42" s="5" t="s">
        <v>75</v>
      </c>
      <c r="B42" s="6" t="s">
        <v>75</v>
      </c>
      <c r="C42" s="6" t="s">
        <v>76</v>
      </c>
      <c r="D42" s="7"/>
      <c r="E42" s="8"/>
    </row>
    <row r="43" customFormat="false" ht="16.5" hidden="false" customHeight="false" outlineLevel="0" collapsed="false">
      <c r="A43" s="5" t="s">
        <v>77</v>
      </c>
      <c r="B43" s="6" t="s">
        <v>77</v>
      </c>
      <c r="C43" s="6" t="s">
        <v>78</v>
      </c>
      <c r="D43" s="7"/>
      <c r="E43" s="8"/>
    </row>
    <row r="44" customFormat="false" ht="16.5" hidden="false" customHeight="false" outlineLevel="0" collapsed="false">
      <c r="A44" s="5" t="s">
        <v>79</v>
      </c>
      <c r="B44" s="6" t="s">
        <v>79</v>
      </c>
      <c r="C44" s="6" t="s">
        <v>80</v>
      </c>
      <c r="D44" s="7"/>
      <c r="E44" s="8"/>
    </row>
    <row r="45" customFormat="false" ht="16.5" hidden="false" customHeight="false" outlineLevel="0" collapsed="false">
      <c r="A45" s="5" t="s">
        <v>81</v>
      </c>
      <c r="B45" s="6" t="s">
        <v>81</v>
      </c>
      <c r="C45" s="6" t="s">
        <v>82</v>
      </c>
      <c r="D45" s="7"/>
      <c r="E45" s="8"/>
    </row>
    <row r="46" customFormat="false" ht="16.5" hidden="false" customHeight="false" outlineLevel="0" collapsed="false">
      <c r="A46" s="5" t="s">
        <v>83</v>
      </c>
      <c r="B46" s="6" t="s">
        <v>83</v>
      </c>
      <c r="C46" s="6" t="s">
        <v>84</v>
      </c>
      <c r="D46" s="7"/>
      <c r="E46" s="8"/>
    </row>
    <row r="47" customFormat="false" ht="16.5" hidden="false" customHeight="false" outlineLevel="0" collapsed="false">
      <c r="A47" s="5" t="s">
        <v>85</v>
      </c>
      <c r="B47" s="6" t="s">
        <v>85</v>
      </c>
      <c r="C47" s="6" t="s">
        <v>86</v>
      </c>
      <c r="D47" s="7"/>
      <c r="E47" s="8"/>
    </row>
    <row r="48" customFormat="false" ht="16.5" hidden="false" customHeight="false" outlineLevel="0" collapsed="false">
      <c r="A48" s="5" t="s">
        <v>87</v>
      </c>
      <c r="B48" s="6" t="s">
        <v>87</v>
      </c>
      <c r="C48" s="6" t="s">
        <v>88</v>
      </c>
      <c r="D48" s="7"/>
      <c r="E48" s="8"/>
    </row>
    <row r="49" customFormat="false" ht="16.5" hidden="false" customHeight="false" outlineLevel="0" collapsed="false">
      <c r="A49" s="5" t="s">
        <v>89</v>
      </c>
      <c r="B49" s="6" t="s">
        <v>89</v>
      </c>
      <c r="C49" s="6" t="s">
        <v>90</v>
      </c>
      <c r="D49" s="7"/>
      <c r="E49" s="8"/>
    </row>
    <row r="50" customFormat="false" ht="16.5" hidden="false" customHeight="false" outlineLevel="0" collapsed="false">
      <c r="A50" s="5" t="s">
        <v>91</v>
      </c>
      <c r="B50" s="6" t="s">
        <v>91</v>
      </c>
      <c r="C50" s="6" t="s">
        <v>92</v>
      </c>
      <c r="D50" s="7"/>
      <c r="E50" s="8"/>
    </row>
    <row r="51" customFormat="false" ht="16.5" hidden="false" customHeight="false" outlineLevel="0" collapsed="false">
      <c r="A51" s="5" t="s">
        <v>93</v>
      </c>
      <c r="B51" s="6" t="s">
        <v>93</v>
      </c>
      <c r="C51" s="6" t="s">
        <v>94</v>
      </c>
      <c r="D51" s="7"/>
      <c r="E51" s="8"/>
    </row>
    <row r="52" customFormat="false" ht="16.5" hidden="false" customHeight="false" outlineLevel="0" collapsed="false">
      <c r="A52" s="5" t="s">
        <v>95</v>
      </c>
      <c r="B52" s="6" t="s">
        <v>95</v>
      </c>
      <c r="C52" s="6" t="s">
        <v>96</v>
      </c>
      <c r="D52" s="7"/>
      <c r="E52" s="8"/>
    </row>
    <row r="53" customFormat="false" ht="16.5" hidden="false" customHeight="false" outlineLevel="0" collapsed="false">
      <c r="A53" s="5" t="s">
        <v>97</v>
      </c>
      <c r="B53" s="6" t="s">
        <v>97</v>
      </c>
      <c r="C53" s="6" t="s">
        <v>98</v>
      </c>
      <c r="D53" s="7"/>
      <c r="E53" s="8"/>
    </row>
    <row r="54" customFormat="false" ht="16.5" hidden="false" customHeight="false" outlineLevel="0" collapsed="false">
      <c r="A54" s="5" t="s">
        <v>99</v>
      </c>
      <c r="B54" s="6" t="s">
        <v>99</v>
      </c>
      <c r="C54" s="6" t="s">
        <v>100</v>
      </c>
      <c r="D54" s="7"/>
      <c r="E54" s="8"/>
    </row>
    <row r="55" customFormat="false" ht="16.5" hidden="false" customHeight="false" outlineLevel="0" collapsed="false">
      <c r="A55" s="5" t="s">
        <v>101</v>
      </c>
      <c r="B55" s="6" t="s">
        <v>101</v>
      </c>
      <c r="C55" s="6" t="s">
        <v>102</v>
      </c>
      <c r="D55" s="7"/>
      <c r="E55" s="8"/>
    </row>
    <row r="56" customFormat="false" ht="16.5" hidden="false" customHeight="false" outlineLevel="0" collapsed="false">
      <c r="A56" s="5" t="s">
        <v>103</v>
      </c>
      <c r="B56" s="6" t="s">
        <v>103</v>
      </c>
      <c r="C56" s="6" t="s">
        <v>104</v>
      </c>
      <c r="D56" s="7"/>
      <c r="E56" s="8"/>
    </row>
    <row r="57" customFormat="false" ht="16.5" hidden="false" customHeight="false" outlineLevel="0" collapsed="false">
      <c r="A57" s="5" t="s">
        <v>105</v>
      </c>
      <c r="B57" s="6" t="s">
        <v>105</v>
      </c>
      <c r="C57" s="6" t="s">
        <v>106</v>
      </c>
      <c r="D57" s="7"/>
      <c r="E57" s="8"/>
    </row>
    <row r="58" customFormat="false" ht="16.5" hidden="false" customHeight="false" outlineLevel="0" collapsed="false">
      <c r="A58" s="5" t="s">
        <v>107</v>
      </c>
      <c r="B58" s="6" t="s">
        <v>107</v>
      </c>
      <c r="C58" s="6" t="s">
        <v>108</v>
      </c>
      <c r="D58" s="7"/>
      <c r="E58" s="8"/>
    </row>
    <row r="59" customFormat="false" ht="16.5" hidden="false" customHeight="false" outlineLevel="0" collapsed="false">
      <c r="A59" s="5" t="s">
        <v>109</v>
      </c>
      <c r="B59" s="6" t="s">
        <v>109</v>
      </c>
      <c r="C59" s="6" t="s">
        <v>110</v>
      </c>
      <c r="D59" s="7"/>
      <c r="E59" s="8"/>
    </row>
    <row r="60" customFormat="false" ht="16.5" hidden="false" customHeight="false" outlineLevel="0" collapsed="false">
      <c r="A60" s="5" t="s">
        <v>111</v>
      </c>
      <c r="B60" s="6" t="s">
        <v>111</v>
      </c>
      <c r="C60" s="6" t="s">
        <v>112</v>
      </c>
      <c r="D60" s="7"/>
      <c r="E60" s="8"/>
    </row>
    <row r="61" customFormat="false" ht="16.5" hidden="false" customHeight="false" outlineLevel="0" collapsed="false">
      <c r="A61" s="5" t="s">
        <v>113</v>
      </c>
      <c r="B61" s="6" t="s">
        <v>113</v>
      </c>
      <c r="C61" s="6" t="s">
        <v>114</v>
      </c>
      <c r="D61" s="7"/>
      <c r="E61" s="8"/>
    </row>
    <row r="62" customFormat="false" ht="16.5" hidden="false" customHeight="false" outlineLevel="0" collapsed="false">
      <c r="A62" s="5" t="s">
        <v>115</v>
      </c>
      <c r="B62" s="6" t="s">
        <v>115</v>
      </c>
      <c r="C62" s="6" t="s">
        <v>116</v>
      </c>
      <c r="D62" s="7"/>
      <c r="E62" s="8"/>
    </row>
    <row r="63" customFormat="false" ht="16.5" hidden="false" customHeight="false" outlineLevel="0" collapsed="false">
      <c r="A63" s="5" t="s">
        <v>117</v>
      </c>
      <c r="B63" s="6" t="s">
        <v>117</v>
      </c>
      <c r="C63" s="6" t="s">
        <v>118</v>
      </c>
      <c r="D63" s="7"/>
      <c r="E63" s="8"/>
    </row>
    <row r="64" customFormat="false" ht="16.5" hidden="false" customHeight="false" outlineLevel="0" collapsed="false">
      <c r="A64" s="5" t="s">
        <v>119</v>
      </c>
      <c r="B64" s="6" t="s">
        <v>119</v>
      </c>
      <c r="C64" s="6" t="s">
        <v>120</v>
      </c>
      <c r="D64" s="7"/>
      <c r="E64" s="8"/>
    </row>
    <row r="65" customFormat="false" ht="16.5" hidden="false" customHeight="false" outlineLevel="0" collapsed="false">
      <c r="A65" s="5" t="s">
        <v>121</v>
      </c>
      <c r="B65" s="6" t="s">
        <v>121</v>
      </c>
      <c r="C65" s="6" t="s">
        <v>122</v>
      </c>
      <c r="D65" s="7"/>
      <c r="E65" s="8"/>
    </row>
    <row r="66" customFormat="false" ht="16.5" hidden="false" customHeight="false" outlineLevel="0" collapsed="false">
      <c r="A66" s="5" t="s">
        <v>123</v>
      </c>
      <c r="B66" s="6" t="s">
        <v>123</v>
      </c>
      <c r="C66" s="6" t="s">
        <v>124</v>
      </c>
      <c r="D66" s="7"/>
      <c r="E66" s="8"/>
    </row>
    <row r="67" customFormat="false" ht="16.5" hidden="false" customHeight="false" outlineLevel="0" collapsed="false">
      <c r="A67" s="5" t="s">
        <v>125</v>
      </c>
      <c r="B67" s="6" t="s">
        <v>125</v>
      </c>
      <c r="C67" s="6" t="s">
        <v>126</v>
      </c>
      <c r="D67" s="7"/>
      <c r="E67" s="8"/>
    </row>
    <row r="68" customFormat="false" ht="16.5" hidden="false" customHeight="false" outlineLevel="0" collapsed="false">
      <c r="A68" s="5" t="s">
        <v>127</v>
      </c>
      <c r="B68" s="6" t="s">
        <v>127</v>
      </c>
      <c r="C68" s="6" t="s">
        <v>128</v>
      </c>
      <c r="D68" s="7"/>
      <c r="E68" s="8"/>
    </row>
    <row r="69" customFormat="false" ht="16.5" hidden="false" customHeight="false" outlineLevel="0" collapsed="false">
      <c r="A69" s="5" t="s">
        <v>129</v>
      </c>
      <c r="B69" s="6" t="s">
        <v>129</v>
      </c>
      <c r="C69" s="6" t="s">
        <v>130</v>
      </c>
      <c r="D69" s="7" t="s">
        <v>131</v>
      </c>
      <c r="E69" s="8"/>
    </row>
    <row r="70" customFormat="false" ht="16.5" hidden="false" customHeight="false" outlineLevel="0" collapsed="false">
      <c r="A70" s="5" t="s">
        <v>132</v>
      </c>
      <c r="B70" s="6" t="s">
        <v>132</v>
      </c>
      <c r="C70" s="6" t="s">
        <v>133</v>
      </c>
      <c r="D70" s="7"/>
      <c r="E70" s="8"/>
    </row>
    <row r="71" customFormat="false" ht="16.5" hidden="false" customHeight="false" outlineLevel="0" collapsed="false">
      <c r="A71" s="5" t="s">
        <v>134</v>
      </c>
      <c r="B71" s="6" t="s">
        <v>134</v>
      </c>
      <c r="C71" s="6" t="s">
        <v>135</v>
      </c>
      <c r="D71" s="7"/>
      <c r="E71" s="8"/>
    </row>
    <row r="72" customFormat="false" ht="16.5" hidden="false" customHeight="false" outlineLevel="0" collapsed="false">
      <c r="A72" s="5" t="s">
        <v>136</v>
      </c>
      <c r="B72" s="6" t="s">
        <v>136</v>
      </c>
      <c r="C72" s="6" t="s">
        <v>137</v>
      </c>
      <c r="D72" s="7"/>
      <c r="E72" s="8"/>
    </row>
    <row r="73" customFormat="false" ht="16.5" hidden="false" customHeight="false" outlineLevel="0" collapsed="false">
      <c r="A73" s="5" t="s">
        <v>138</v>
      </c>
      <c r="B73" s="6" t="s">
        <v>138</v>
      </c>
      <c r="C73" s="6" t="s">
        <v>139</v>
      </c>
      <c r="D73" s="7" t="s">
        <v>131</v>
      </c>
      <c r="E73" s="8"/>
    </row>
    <row r="74" customFormat="false" ht="16.5" hidden="false" customHeight="false" outlineLevel="0" collapsed="false">
      <c r="A74" s="5" t="s">
        <v>140</v>
      </c>
      <c r="B74" s="6" t="s">
        <v>140</v>
      </c>
      <c r="C74" s="6" t="s">
        <v>141</v>
      </c>
      <c r="D74" s="7" t="s">
        <v>142</v>
      </c>
      <c r="E74" s="8"/>
    </row>
    <row r="75" customFormat="false" ht="16.5" hidden="false" customHeight="false" outlineLevel="0" collapsed="false">
      <c r="A75" s="5" t="s">
        <v>143</v>
      </c>
      <c r="B75" s="6" t="s">
        <v>143</v>
      </c>
      <c r="C75" s="6" t="s">
        <v>144</v>
      </c>
      <c r="D75" s="7"/>
      <c r="E75" s="8"/>
    </row>
    <row r="76" customFormat="false" ht="16.5" hidden="false" customHeight="false" outlineLevel="0" collapsed="false">
      <c r="A76" s="5" t="s">
        <v>145</v>
      </c>
      <c r="B76" s="6" t="s">
        <v>146</v>
      </c>
      <c r="C76" s="6" t="s">
        <v>147</v>
      </c>
      <c r="D76" s="7"/>
      <c r="E76" s="8"/>
    </row>
    <row r="77" customFormat="false" ht="16.5" hidden="false" customHeight="false" outlineLevel="0" collapsed="false">
      <c r="A77" s="5" t="s">
        <v>148</v>
      </c>
      <c r="B77" s="6" t="s">
        <v>148</v>
      </c>
      <c r="C77" s="6" t="s">
        <v>149</v>
      </c>
      <c r="D77" s="7"/>
      <c r="E77" s="8"/>
    </row>
    <row r="78" customFormat="false" ht="16.5" hidden="false" customHeight="false" outlineLevel="0" collapsed="false">
      <c r="A78" s="5" t="s">
        <v>150</v>
      </c>
      <c r="B78" s="6" t="s">
        <v>151</v>
      </c>
      <c r="C78" s="6" t="s">
        <v>152</v>
      </c>
      <c r="D78" s="7"/>
      <c r="E78" s="8"/>
    </row>
    <row r="79" customFormat="false" ht="16.5" hidden="false" customHeight="false" outlineLevel="0" collapsed="false">
      <c r="A79" s="5" t="s">
        <v>153</v>
      </c>
      <c r="B79" s="6" t="s">
        <v>153</v>
      </c>
      <c r="C79" s="6" t="s">
        <v>154</v>
      </c>
      <c r="D79" s="7"/>
      <c r="E79" s="8"/>
    </row>
    <row r="80" customFormat="false" ht="16.5" hidden="false" customHeight="false" outlineLevel="0" collapsed="false">
      <c r="A80" s="5" t="s">
        <v>155</v>
      </c>
      <c r="B80" s="6" t="s">
        <v>155</v>
      </c>
      <c r="C80" s="6" t="s">
        <v>156</v>
      </c>
      <c r="D80" s="7"/>
      <c r="E80" s="8"/>
    </row>
    <row r="81" customFormat="false" ht="16.5" hidden="false" customHeight="false" outlineLevel="0" collapsed="false">
      <c r="A81" s="5" t="s">
        <v>157</v>
      </c>
      <c r="B81" s="6" t="s">
        <v>157</v>
      </c>
      <c r="C81" s="6" t="s">
        <v>158</v>
      </c>
      <c r="D81" s="7"/>
      <c r="E81" s="8"/>
    </row>
    <row r="82" customFormat="false" ht="16.5" hidden="false" customHeight="false" outlineLevel="0" collapsed="false">
      <c r="A82" s="5" t="s">
        <v>159</v>
      </c>
      <c r="B82" s="6"/>
      <c r="C82" s="6" t="s">
        <v>160</v>
      </c>
      <c r="D82" s="7" t="s">
        <v>161</v>
      </c>
      <c r="E82" s="8" t="s">
        <v>162</v>
      </c>
    </row>
    <row r="83" customFormat="false" ht="16.5" hidden="false" customHeight="false" outlineLevel="0" collapsed="false">
      <c r="A83" s="5" t="s">
        <v>146</v>
      </c>
      <c r="B83" s="6" t="s">
        <v>163</v>
      </c>
      <c r="C83" s="6" t="s">
        <v>164</v>
      </c>
      <c r="D83" s="7"/>
      <c r="E83" s="8"/>
    </row>
    <row r="84" customFormat="false" ht="16.5" hidden="false" customHeight="false" outlineLevel="0" collapsed="false">
      <c r="A84" s="5" t="s">
        <v>163</v>
      </c>
      <c r="B84" s="6" t="s">
        <v>159</v>
      </c>
      <c r="C84" s="6" t="s">
        <v>165</v>
      </c>
      <c r="D84" s="7"/>
      <c r="E84" s="8"/>
    </row>
    <row r="85" customFormat="false" ht="16.5" hidden="false" customHeight="false" outlineLevel="0" collapsed="false">
      <c r="A85" s="5" t="s">
        <v>166</v>
      </c>
      <c r="B85" s="6" t="s">
        <v>167</v>
      </c>
      <c r="C85" s="6" t="s">
        <v>168</v>
      </c>
      <c r="D85" s="7"/>
      <c r="E85" s="8"/>
    </row>
    <row r="86" customFormat="false" ht="16.5" hidden="false" customHeight="false" outlineLevel="0" collapsed="false">
      <c r="A86" s="5" t="s">
        <v>159</v>
      </c>
      <c r="B86" s="9"/>
      <c r="C86" s="9" t="s">
        <v>169</v>
      </c>
      <c r="D86" s="10" t="s">
        <v>170</v>
      </c>
      <c r="E86" s="11" t="s">
        <v>171</v>
      </c>
    </row>
    <row r="87" customFormat="false" ht="16.5" hidden="false" customHeight="false" outlineLevel="0" collapsed="false">
      <c r="A87" s="5" t="s">
        <v>172</v>
      </c>
      <c r="B87" s="9"/>
      <c r="C87" s="9" t="s">
        <v>173</v>
      </c>
      <c r="D87" s="10"/>
      <c r="E87" s="11"/>
    </row>
    <row r="88" customFormat="false" ht="16.5" hidden="false" customHeight="false" outlineLevel="0" collapsed="false">
      <c r="A88" s="5" t="s">
        <v>174</v>
      </c>
      <c r="B88" s="9"/>
      <c r="C88" s="9" t="s">
        <v>175</v>
      </c>
      <c r="D88" s="10"/>
      <c r="E88" s="11" t="s">
        <v>176</v>
      </c>
    </row>
    <row r="89" customFormat="false" ht="16.5" hidden="false" customHeight="false" outlineLevel="0" collapsed="false">
      <c r="A89" s="5" t="s">
        <v>177</v>
      </c>
      <c r="B89" s="9"/>
      <c r="C89" s="9" t="s">
        <v>178</v>
      </c>
      <c r="D89" s="10"/>
      <c r="E89" s="11" t="s">
        <v>179</v>
      </c>
    </row>
    <row r="90" customFormat="false" ht="16.5" hidden="false" customHeight="false" outlineLevel="0" collapsed="false">
      <c r="A90" s="5" t="s">
        <v>180</v>
      </c>
      <c r="B90" s="9" t="s">
        <v>180</v>
      </c>
      <c r="C90" s="9" t="s">
        <v>181</v>
      </c>
      <c r="D90" s="10"/>
      <c r="E90" s="11"/>
    </row>
    <row r="91" customFormat="false" ht="16.5" hidden="false" customHeight="false" outlineLevel="0" collapsed="false">
      <c r="A91" s="12" t="s">
        <v>182</v>
      </c>
      <c r="B91" s="13" t="s">
        <v>182</v>
      </c>
      <c r="C91" s="13" t="s">
        <v>183</v>
      </c>
      <c r="D91" s="14"/>
      <c r="E91" s="15"/>
    </row>
    <row r="92" customFormat="false" ht="16.5" hidden="false" customHeight="false" outlineLevel="0" collapsed="false">
      <c r="A92" s="16" t="s">
        <v>184</v>
      </c>
      <c r="B92" s="17"/>
      <c r="C92" s="17"/>
      <c r="D92" s="17"/>
      <c r="E92" s="18"/>
    </row>
    <row r="93" customFormat="false" ht="16.5" hidden="false" customHeight="false" outlineLevel="0" collapsed="false">
      <c r="A93" s="2" t="s">
        <v>0</v>
      </c>
      <c r="B93" s="3" t="s">
        <v>1</v>
      </c>
      <c r="C93" s="3" t="s">
        <v>2</v>
      </c>
      <c r="D93" s="3" t="s">
        <v>3</v>
      </c>
      <c r="E93" s="4"/>
    </row>
    <row r="94" customFormat="false" ht="16.5" hidden="false" customHeight="false" outlineLevel="0" collapsed="false">
      <c r="A94" s="5" t="s">
        <v>185</v>
      </c>
      <c r="B94" s="6" t="s">
        <v>185</v>
      </c>
      <c r="C94" s="6" t="s">
        <v>186</v>
      </c>
      <c r="D94" s="7"/>
      <c r="E94" s="8"/>
    </row>
    <row r="95" customFormat="false" ht="16.5" hidden="false" customHeight="false" outlineLevel="0" collapsed="false">
      <c r="A95" s="5" t="s">
        <v>187</v>
      </c>
      <c r="B95" s="6" t="s">
        <v>187</v>
      </c>
      <c r="C95" s="6" t="s">
        <v>141</v>
      </c>
      <c r="D95" s="7"/>
      <c r="E95" s="8"/>
    </row>
    <row r="96" customFormat="false" ht="16.5" hidden="false" customHeight="false" outlineLevel="0" collapsed="false">
      <c r="A96" s="5" t="s">
        <v>188</v>
      </c>
      <c r="B96" s="6" t="s">
        <v>188</v>
      </c>
      <c r="C96" s="6" t="s">
        <v>189</v>
      </c>
      <c r="D96" s="7"/>
      <c r="E96" s="8"/>
    </row>
    <row r="97" customFormat="false" ht="16.5" hidden="false" customHeight="false" outlineLevel="0" collapsed="false">
      <c r="A97" s="5" t="s">
        <v>190</v>
      </c>
      <c r="B97" s="6" t="s">
        <v>190</v>
      </c>
      <c r="C97" s="6" t="s">
        <v>191</v>
      </c>
      <c r="D97" s="7"/>
      <c r="E97" s="8"/>
    </row>
    <row r="98" customFormat="false" ht="16.5" hidden="false" customHeight="false" outlineLevel="0" collapsed="false">
      <c r="A98" s="5" t="s">
        <v>192</v>
      </c>
      <c r="B98" s="6" t="s">
        <v>192</v>
      </c>
      <c r="C98" s="6" t="s">
        <v>193</v>
      </c>
      <c r="D98" s="7"/>
      <c r="E98" s="8"/>
    </row>
    <row r="99" customFormat="false" ht="16.5" hidden="false" customHeight="false" outlineLevel="0" collapsed="false">
      <c r="A99" s="5" t="s">
        <v>194</v>
      </c>
      <c r="B99" s="6" t="s">
        <v>194</v>
      </c>
      <c r="C99" s="6" t="s">
        <v>195</v>
      </c>
      <c r="D99" s="7"/>
      <c r="E99" s="8"/>
    </row>
    <row r="100" customFormat="false" ht="16.5" hidden="false" customHeight="false" outlineLevel="0" collapsed="false">
      <c r="A100" s="5" t="s">
        <v>196</v>
      </c>
      <c r="B100" s="6" t="s">
        <v>196</v>
      </c>
      <c r="C100" s="6" t="s">
        <v>197</v>
      </c>
      <c r="D100" s="7"/>
      <c r="E100" s="8"/>
    </row>
    <row r="101" customFormat="false" ht="16.5" hidden="false" customHeight="false" outlineLevel="0" collapsed="false">
      <c r="A101" s="5" t="s">
        <v>198</v>
      </c>
      <c r="B101" s="6" t="s">
        <v>198</v>
      </c>
      <c r="C101" s="6" t="s">
        <v>199</v>
      </c>
      <c r="D101" s="7"/>
      <c r="E101" s="8"/>
    </row>
    <row r="102" customFormat="false" ht="16.5" hidden="false" customHeight="false" outlineLevel="0" collapsed="false">
      <c r="A102" s="5" t="s">
        <v>200</v>
      </c>
      <c r="B102" s="6" t="s">
        <v>200</v>
      </c>
      <c r="C102" s="6" t="s">
        <v>201</v>
      </c>
      <c r="D102" s="7"/>
      <c r="E102" s="8"/>
    </row>
    <row r="103" customFormat="false" ht="16.5" hidden="false" customHeight="false" outlineLevel="0" collapsed="false">
      <c r="A103" s="5" t="s">
        <v>202</v>
      </c>
      <c r="B103" s="6" t="s">
        <v>202</v>
      </c>
      <c r="C103" s="6" t="s">
        <v>203</v>
      </c>
      <c r="D103" s="7"/>
      <c r="E103" s="8"/>
    </row>
    <row r="104" customFormat="false" ht="16.5" hidden="false" customHeight="false" outlineLevel="0" collapsed="false">
      <c r="A104" s="5" t="s">
        <v>204</v>
      </c>
      <c r="B104" s="6" t="s">
        <v>204</v>
      </c>
      <c r="C104" s="6" t="s">
        <v>205</v>
      </c>
      <c r="D104" s="7"/>
      <c r="E104" s="8"/>
    </row>
    <row r="105" customFormat="false" ht="16.5" hidden="false" customHeight="false" outlineLevel="0" collapsed="false">
      <c r="A105" s="5" t="s">
        <v>206</v>
      </c>
      <c r="B105" s="6" t="s">
        <v>206</v>
      </c>
      <c r="C105" s="6" t="s">
        <v>207</v>
      </c>
      <c r="D105" s="7"/>
      <c r="E105" s="8"/>
    </row>
    <row r="106" customFormat="false" ht="16.5" hidden="false" customHeight="false" outlineLevel="0" collapsed="false">
      <c r="A106" s="5" t="s">
        <v>208</v>
      </c>
      <c r="B106" s="6" t="s">
        <v>208</v>
      </c>
      <c r="C106" s="6" t="s">
        <v>209</v>
      </c>
      <c r="D106" s="7"/>
      <c r="E106" s="8"/>
    </row>
    <row r="107" customFormat="false" ht="16.5" hidden="false" customHeight="false" outlineLevel="0" collapsed="false">
      <c r="A107" s="5" t="s">
        <v>210</v>
      </c>
      <c r="B107" s="6" t="s">
        <v>210</v>
      </c>
      <c r="C107" s="6" t="s">
        <v>211</v>
      </c>
      <c r="D107" s="7"/>
      <c r="E107" s="8"/>
    </row>
    <row r="108" customFormat="false" ht="16.5" hidden="false" customHeight="false" outlineLevel="0" collapsed="false">
      <c r="A108" s="5" t="s">
        <v>212</v>
      </c>
      <c r="B108" s="6" t="s">
        <v>212</v>
      </c>
      <c r="C108" s="6" t="s">
        <v>213</v>
      </c>
      <c r="D108" s="7"/>
      <c r="E108" s="8"/>
    </row>
    <row r="109" customFormat="false" ht="16.5" hidden="false" customHeight="false" outlineLevel="0" collapsed="false">
      <c r="A109" s="5" t="s">
        <v>214</v>
      </c>
      <c r="B109" s="6" t="s">
        <v>214</v>
      </c>
      <c r="C109" s="6" t="s">
        <v>215</v>
      </c>
      <c r="D109" s="7"/>
      <c r="E109" s="8"/>
    </row>
    <row r="110" customFormat="false" ht="16.5" hidden="false" customHeight="false" outlineLevel="0" collapsed="false">
      <c r="A110" s="5" t="s">
        <v>216</v>
      </c>
      <c r="B110" s="6"/>
      <c r="C110" s="6" t="s">
        <v>217</v>
      </c>
      <c r="D110" s="7"/>
      <c r="E110" s="8"/>
    </row>
    <row r="111" customFormat="false" ht="16.5" hidden="false" customHeight="false" outlineLevel="0" collapsed="false">
      <c r="A111" s="5" t="s">
        <v>218</v>
      </c>
      <c r="B111" s="6"/>
      <c r="C111" s="6" t="s">
        <v>219</v>
      </c>
      <c r="D111" s="7"/>
      <c r="E111" s="8"/>
    </row>
    <row r="112" customFormat="false" ht="16.5" hidden="false" customHeight="false" outlineLevel="0" collapsed="false">
      <c r="A112" s="5" t="s">
        <v>220</v>
      </c>
      <c r="B112" s="6"/>
      <c r="C112" s="6" t="s">
        <v>221</v>
      </c>
      <c r="D112" s="7"/>
      <c r="E112" s="8"/>
    </row>
    <row r="113" customFormat="false" ht="16.5" hidden="false" customHeight="false" outlineLevel="0" collapsed="false">
      <c r="A113" s="5" t="s">
        <v>222</v>
      </c>
      <c r="B113" s="6"/>
      <c r="C113" s="6" t="s">
        <v>223</v>
      </c>
      <c r="D113" s="7"/>
      <c r="E113" s="8"/>
    </row>
    <row r="114" customFormat="false" ht="16.5" hidden="false" customHeight="false" outlineLevel="0" collapsed="false">
      <c r="A114" s="5" t="s">
        <v>224</v>
      </c>
      <c r="B114" s="6"/>
      <c r="C114" s="6" t="s">
        <v>225</v>
      </c>
      <c r="D114" s="7"/>
      <c r="E114" s="8"/>
    </row>
    <row r="115" customFormat="false" ht="16.5" hidden="false" customHeight="false" outlineLevel="0" collapsed="false">
      <c r="A115" s="5" t="s">
        <v>226</v>
      </c>
      <c r="B115" s="6"/>
      <c r="C115" s="6" t="s">
        <v>227</v>
      </c>
      <c r="D115" s="7"/>
      <c r="E115" s="8"/>
    </row>
    <row r="116" customFormat="false" ht="16.5" hidden="false" customHeight="false" outlineLevel="0" collapsed="false">
      <c r="A116" s="5" t="s">
        <v>228</v>
      </c>
      <c r="B116" s="6"/>
      <c r="C116" s="6" t="s">
        <v>229</v>
      </c>
      <c r="D116" s="7"/>
      <c r="E116" s="8"/>
    </row>
    <row r="117" customFormat="false" ht="16.5" hidden="false" customHeight="false" outlineLevel="0" collapsed="false">
      <c r="A117" s="5" t="s">
        <v>230</v>
      </c>
      <c r="B117" s="6"/>
      <c r="C117" s="6" t="s">
        <v>231</v>
      </c>
      <c r="D117" s="7"/>
      <c r="E117" s="8"/>
    </row>
    <row r="118" customFormat="false" ht="16.5" hidden="false" customHeight="false" outlineLevel="0" collapsed="false">
      <c r="A118" s="5" t="s">
        <v>232</v>
      </c>
      <c r="B118" s="6"/>
      <c r="C118" s="6" t="s">
        <v>233</v>
      </c>
      <c r="D118" s="7"/>
      <c r="E118" s="8"/>
    </row>
    <row r="119" customFormat="false" ht="16.5" hidden="false" customHeight="false" outlineLevel="0" collapsed="false">
      <c r="A119" s="5" t="s">
        <v>234</v>
      </c>
      <c r="B119" s="6"/>
      <c r="C119" s="6" t="s">
        <v>235</v>
      </c>
      <c r="D119" s="7"/>
      <c r="E119" s="8"/>
    </row>
    <row r="120" customFormat="false" ht="16.5" hidden="false" customHeight="false" outlineLevel="0" collapsed="false">
      <c r="A120" s="5" t="s">
        <v>236</v>
      </c>
      <c r="B120" s="6"/>
      <c r="C120" s="6" t="s">
        <v>237</v>
      </c>
      <c r="D120" s="7" t="s">
        <v>238</v>
      </c>
      <c r="E120" s="8"/>
    </row>
    <row r="121" customFormat="false" ht="16.5" hidden="false" customHeight="false" outlineLevel="0" collapsed="false">
      <c r="A121" s="5" t="s">
        <v>239</v>
      </c>
      <c r="B121" s="6"/>
      <c r="C121" s="6" t="s">
        <v>240</v>
      </c>
      <c r="D121" s="7"/>
      <c r="E121" s="8" t="s">
        <v>241</v>
      </c>
    </row>
    <row r="122" customFormat="false" ht="16.5" hidden="false" customHeight="false" outlineLevel="0" collapsed="false">
      <c r="A122" s="5" t="s">
        <v>242</v>
      </c>
      <c r="B122" s="6"/>
      <c r="C122" s="6" t="s">
        <v>243</v>
      </c>
      <c r="D122" s="7"/>
      <c r="E122" s="8"/>
    </row>
    <row r="123" customFormat="false" ht="16.5" hidden="false" customHeight="false" outlineLevel="0" collapsed="false">
      <c r="A123" s="5" t="s">
        <v>244</v>
      </c>
      <c r="B123" s="6"/>
      <c r="C123" s="6" t="s">
        <v>245</v>
      </c>
      <c r="D123" s="7"/>
      <c r="E123" s="8"/>
    </row>
    <row r="124" customFormat="false" ht="16.5" hidden="false" customHeight="false" outlineLevel="0" collapsed="false">
      <c r="A124" s="5" t="s">
        <v>246</v>
      </c>
      <c r="B124" s="6"/>
      <c r="C124" s="6" t="s">
        <v>247</v>
      </c>
      <c r="D124" s="7" t="s">
        <v>248</v>
      </c>
      <c r="E124" s="8"/>
    </row>
    <row r="125" customFormat="false" ht="16.5" hidden="false" customHeight="false" outlineLevel="0" collapsed="false">
      <c r="A125" s="5" t="s">
        <v>249</v>
      </c>
      <c r="B125" s="6"/>
      <c r="C125" s="6" t="s">
        <v>250</v>
      </c>
      <c r="D125" s="7"/>
      <c r="E125" s="8"/>
    </row>
    <row r="126" customFormat="false" ht="16.5" hidden="false" customHeight="false" outlineLevel="0" collapsed="false">
      <c r="A126" s="5" t="s">
        <v>251</v>
      </c>
      <c r="B126" s="6"/>
      <c r="C126" s="6" t="s">
        <v>252</v>
      </c>
      <c r="D126" s="7"/>
      <c r="E126" s="8"/>
    </row>
    <row r="127" customFormat="false" ht="16.5" hidden="false" customHeight="false" outlineLevel="0" collapsed="false">
      <c r="A127" s="5" t="s">
        <v>253</v>
      </c>
      <c r="B127" s="6"/>
      <c r="C127" s="6" t="s">
        <v>254</v>
      </c>
      <c r="D127" s="7" t="s">
        <v>255</v>
      </c>
      <c r="E127" s="8"/>
    </row>
    <row r="128" customFormat="false" ht="16.5" hidden="false" customHeight="false" outlineLevel="0" collapsed="false">
      <c r="A128" s="5" t="s">
        <v>256</v>
      </c>
      <c r="B128" s="6"/>
      <c r="C128" s="6" t="s">
        <v>257</v>
      </c>
      <c r="D128" s="7"/>
      <c r="E128" s="8" t="s">
        <v>258</v>
      </c>
    </row>
    <row r="129" customFormat="false" ht="16.5" hidden="false" customHeight="false" outlineLevel="0" collapsed="false">
      <c r="A129" s="5" t="s">
        <v>259</v>
      </c>
      <c r="B129" s="6"/>
      <c r="C129" s="6" t="s">
        <v>260</v>
      </c>
      <c r="D129" s="7"/>
      <c r="E129" s="8"/>
    </row>
    <row r="130" customFormat="false" ht="16.5" hidden="false" customHeight="false" outlineLevel="0" collapsed="false">
      <c r="A130" s="19" t="s">
        <v>261</v>
      </c>
      <c r="B130" s="9"/>
      <c r="C130" s="9" t="s">
        <v>262</v>
      </c>
      <c r="D130" s="10"/>
      <c r="E130" s="11"/>
    </row>
    <row r="131" customFormat="false" ht="16.5" hidden="false" customHeight="false" outlineLevel="0" collapsed="false">
      <c r="A131" s="19" t="s">
        <v>263</v>
      </c>
      <c r="B131" s="9"/>
      <c r="C131" s="9" t="s">
        <v>264</v>
      </c>
      <c r="D131" s="10" t="s">
        <v>265</v>
      </c>
      <c r="E131" s="11"/>
    </row>
    <row r="132" customFormat="false" ht="16.5" hidden="false" customHeight="false" outlineLevel="0" collapsed="false">
      <c r="A132" s="19" t="s">
        <v>266</v>
      </c>
      <c r="B132" s="9"/>
      <c r="C132" s="9" t="s">
        <v>267</v>
      </c>
      <c r="D132" s="10" t="s">
        <v>268</v>
      </c>
      <c r="E132" s="11"/>
    </row>
    <row r="133" customFormat="false" ht="16.5" hidden="false" customHeight="false" outlineLevel="0" collapsed="false">
      <c r="A133" s="19" t="s">
        <v>269</v>
      </c>
      <c r="B133" s="9" t="s">
        <v>269</v>
      </c>
      <c r="C133" s="9" t="s">
        <v>269</v>
      </c>
      <c r="D133" s="10" t="s">
        <v>270</v>
      </c>
      <c r="E133" s="11"/>
    </row>
    <row r="134" customFormat="false" ht="16.5" hidden="false" customHeight="false" outlineLevel="0" collapsed="false">
      <c r="A134" s="12" t="s">
        <v>271</v>
      </c>
      <c r="B134" s="13" t="s">
        <v>271</v>
      </c>
      <c r="C134" s="13" t="s">
        <v>271</v>
      </c>
      <c r="D134" s="14" t="s">
        <v>272</v>
      </c>
      <c r="E134" s="15"/>
    </row>
    <row r="135" customFormat="false" ht="16.5" hidden="false" customHeight="false" outlineLevel="0" collapsed="false">
      <c r="A135" s="16" t="s">
        <v>273</v>
      </c>
      <c r="B135" s="17"/>
      <c r="C135" s="17"/>
      <c r="D135" s="17"/>
      <c r="E135" s="18"/>
    </row>
    <row r="136" customFormat="false" ht="16.5" hidden="false" customHeight="false" outlineLevel="0" collapsed="false">
      <c r="A136" s="2" t="s">
        <v>0</v>
      </c>
      <c r="B136" s="3" t="s">
        <v>1</v>
      </c>
      <c r="C136" s="3" t="s">
        <v>2</v>
      </c>
      <c r="D136" s="3" t="s">
        <v>3</v>
      </c>
      <c r="E136" s="4"/>
    </row>
    <row r="137" customFormat="false" ht="16.5" hidden="false" customHeight="false" outlineLevel="0" collapsed="false">
      <c r="A137" s="5" t="s">
        <v>274</v>
      </c>
      <c r="B137" s="6" t="s">
        <v>274</v>
      </c>
      <c r="C137" s="6" t="s">
        <v>275</v>
      </c>
      <c r="D137" s="7"/>
      <c r="E137" s="8"/>
    </row>
    <row r="138" customFormat="false" ht="16.5" hidden="false" customHeight="false" outlineLevel="0" collapsed="false">
      <c r="A138" s="5" t="s">
        <v>276</v>
      </c>
      <c r="B138" s="6" t="s">
        <v>276</v>
      </c>
      <c r="C138" s="6" t="s">
        <v>277</v>
      </c>
      <c r="D138" s="7"/>
      <c r="E138" s="8"/>
    </row>
    <row r="139" customFormat="false" ht="16.5" hidden="false" customHeight="false" outlineLevel="0" collapsed="false">
      <c r="A139" s="5" t="s">
        <v>278</v>
      </c>
      <c r="B139" s="6" t="s">
        <v>278</v>
      </c>
      <c r="C139" s="6" t="s">
        <v>279</v>
      </c>
      <c r="D139" s="7"/>
      <c r="E139" s="8"/>
    </row>
    <row r="140" customFormat="false" ht="16.5" hidden="false" customHeight="false" outlineLevel="0" collapsed="false">
      <c r="A140" s="5" t="s">
        <v>280</v>
      </c>
      <c r="B140" s="6" t="s">
        <v>280</v>
      </c>
      <c r="C140" s="6" t="s">
        <v>281</v>
      </c>
      <c r="D140" s="7"/>
      <c r="E140" s="8"/>
    </row>
    <row r="141" customFormat="false" ht="16.5" hidden="false" customHeight="false" outlineLevel="0" collapsed="false">
      <c r="A141" s="12"/>
      <c r="B141" s="13"/>
      <c r="C141" s="13"/>
      <c r="D141" s="20"/>
      <c r="E141" s="21"/>
    </row>
    <row r="142" customFormat="false" ht="16.5" hidden="false" customHeight="false" outlineLevel="0" collapsed="false">
      <c r="A142" s="16" t="s">
        <v>282</v>
      </c>
      <c r="B142" s="17"/>
      <c r="C142" s="17"/>
      <c r="D142" s="17"/>
      <c r="E142" s="18"/>
    </row>
    <row r="143" customFormat="false" ht="16.5" hidden="false" customHeight="false" outlineLevel="0" collapsed="false">
      <c r="A143" s="2" t="s">
        <v>0</v>
      </c>
      <c r="B143" s="3" t="s">
        <v>1</v>
      </c>
      <c r="C143" s="3" t="s">
        <v>2</v>
      </c>
      <c r="D143" s="3" t="s">
        <v>3</v>
      </c>
      <c r="E143" s="4"/>
    </row>
    <row r="144" customFormat="false" ht="16.5" hidden="false" customHeight="false" outlineLevel="0" collapsed="false">
      <c r="A144" s="5" t="s">
        <v>283</v>
      </c>
      <c r="B144" s="6" t="s">
        <v>283</v>
      </c>
      <c r="C144" s="6" t="s">
        <v>284</v>
      </c>
      <c r="D144" s="7" t="s">
        <v>285</v>
      </c>
      <c r="E144" s="8"/>
    </row>
    <row r="145" customFormat="false" ht="16.5" hidden="false" customHeight="false" outlineLevel="0" collapsed="false">
      <c r="A145" s="5" t="s">
        <v>286</v>
      </c>
      <c r="B145" s="6" t="s">
        <v>286</v>
      </c>
      <c r="C145" s="6" t="s">
        <v>287</v>
      </c>
      <c r="D145" s="7" t="s">
        <v>288</v>
      </c>
      <c r="E145" s="8"/>
    </row>
    <row r="146" customFormat="false" ht="16.5" hidden="false" customHeight="false" outlineLevel="0" collapsed="false">
      <c r="A146" s="5" t="s">
        <v>289</v>
      </c>
      <c r="B146" s="6" t="s">
        <v>289</v>
      </c>
      <c r="C146" s="6" t="s">
        <v>290</v>
      </c>
      <c r="D146" s="7" t="s">
        <v>291</v>
      </c>
      <c r="E146" s="8"/>
    </row>
    <row r="147" customFormat="false" ht="16.5" hidden="false" customHeight="false" outlineLevel="0" collapsed="false">
      <c r="A147" s="19" t="s">
        <v>292</v>
      </c>
      <c r="B147" s="9" t="s">
        <v>292</v>
      </c>
      <c r="C147" s="9" t="s">
        <v>293</v>
      </c>
      <c r="D147" s="10" t="s">
        <v>294</v>
      </c>
      <c r="E147" s="11"/>
    </row>
    <row r="148" customFormat="false" ht="16.5" hidden="false" customHeight="false" outlineLevel="0" collapsed="false">
      <c r="A148" s="5" t="s">
        <v>295</v>
      </c>
      <c r="B148" s="6" t="s">
        <v>295</v>
      </c>
      <c r="C148" s="6" t="s">
        <v>296</v>
      </c>
      <c r="D148" s="7" t="s">
        <v>297</v>
      </c>
      <c r="E148" s="8"/>
    </row>
    <row r="149" customFormat="false" ht="16.5" hidden="false" customHeight="false" outlineLevel="0" collapsed="false">
      <c r="A149" s="5" t="s">
        <v>298</v>
      </c>
      <c r="B149" s="6" t="s">
        <v>298</v>
      </c>
      <c r="C149" s="6" t="s">
        <v>299</v>
      </c>
      <c r="D149" s="7" t="s">
        <v>300</v>
      </c>
      <c r="E149" s="8"/>
    </row>
    <row r="150" customFormat="false" ht="16.5" hidden="false" customHeight="false" outlineLevel="0" collapsed="false">
      <c r="A150" s="12"/>
      <c r="B150" s="13"/>
      <c r="C150" s="13"/>
      <c r="D150" s="20"/>
      <c r="E150" s="21"/>
    </row>
    <row r="151" customFormat="false" ht="16.5" hidden="false" customHeight="false" outlineLevel="0" collapsed="false">
      <c r="A151" s="16" t="s">
        <v>301</v>
      </c>
      <c r="B151" s="17"/>
      <c r="C151" s="17"/>
      <c r="D151" s="17"/>
      <c r="E151" s="18"/>
    </row>
    <row r="152" customFormat="false" ht="16.5" hidden="false" customHeight="false" outlineLevel="0" collapsed="false">
      <c r="A152" s="2" t="s">
        <v>0</v>
      </c>
      <c r="B152" s="3" t="s">
        <v>1</v>
      </c>
      <c r="C152" s="3" t="s">
        <v>2</v>
      </c>
      <c r="D152" s="3" t="s">
        <v>3</v>
      </c>
      <c r="E152" s="4"/>
    </row>
    <row r="153" customFormat="false" ht="16.5" hidden="false" customHeight="false" outlineLevel="0" collapsed="false">
      <c r="A153" s="5" t="s">
        <v>302</v>
      </c>
      <c r="B153" s="6"/>
      <c r="C153" s="6" t="s">
        <v>303</v>
      </c>
      <c r="D153" s="7" t="s">
        <v>304</v>
      </c>
      <c r="E153" s="8"/>
    </row>
    <row r="154" customFormat="false" ht="16.5" hidden="false" customHeight="false" outlineLevel="0" collapsed="false">
      <c r="A154" s="5" t="s">
        <v>305</v>
      </c>
      <c r="B154" s="6"/>
      <c r="C154" s="6" t="s">
        <v>306</v>
      </c>
      <c r="D154" s="7" t="s">
        <v>307</v>
      </c>
      <c r="E154" s="8"/>
    </row>
    <row r="155" customFormat="false" ht="16.5" hidden="false" customHeight="false" outlineLevel="0" collapsed="false">
      <c r="A155" s="5"/>
      <c r="B155" s="6"/>
      <c r="C155" s="6"/>
      <c r="D155" s="7"/>
      <c r="E155" s="8"/>
    </row>
    <row r="156" customFormat="false" ht="16.5" hidden="false" customHeight="false" outlineLevel="0" collapsed="false">
      <c r="A156" s="19"/>
      <c r="B156" s="9"/>
      <c r="C156" s="9"/>
      <c r="D156" s="10"/>
      <c r="E156" s="11"/>
    </row>
    <row r="157" customFormat="false" ht="16.5" hidden="false" customHeight="false" outlineLevel="0" collapsed="false">
      <c r="A157" s="12"/>
      <c r="B157" s="13"/>
      <c r="C157" s="13"/>
      <c r="D157" s="14"/>
      <c r="E157" s="15"/>
    </row>
    <row r="158" customFormat="false" ht="16.5" hidden="false" customHeight="false" outlineLevel="0" collapsed="false">
      <c r="A158" s="16" t="s">
        <v>308</v>
      </c>
      <c r="B158" s="17"/>
      <c r="C158" s="17"/>
      <c r="D158" s="17"/>
      <c r="E158" s="18"/>
    </row>
    <row r="159" customFormat="false" ht="16.5" hidden="false" customHeight="false" outlineLevel="0" collapsed="false">
      <c r="A159" s="2" t="s">
        <v>0</v>
      </c>
      <c r="B159" s="3" t="s">
        <v>1</v>
      </c>
      <c r="C159" s="3" t="s">
        <v>2</v>
      </c>
      <c r="D159" s="3" t="s">
        <v>3</v>
      </c>
      <c r="E159" s="4"/>
    </row>
    <row r="160" customFormat="false" ht="43.25" hidden="false" customHeight="false" outlineLevel="0" collapsed="false">
      <c r="A160" s="5" t="s">
        <v>309</v>
      </c>
      <c r="B160" s="6" t="s">
        <v>309</v>
      </c>
      <c r="C160" s="6" t="s">
        <v>310</v>
      </c>
      <c r="D160" s="22" t="s">
        <v>311</v>
      </c>
      <c r="E160" s="23"/>
    </row>
    <row r="161" customFormat="false" ht="43.25" hidden="false" customHeight="false" outlineLevel="0" collapsed="false">
      <c r="A161" s="5" t="s">
        <v>312</v>
      </c>
      <c r="B161" s="6" t="s">
        <v>312</v>
      </c>
      <c r="C161" s="6" t="s">
        <v>313</v>
      </c>
      <c r="D161" s="22" t="s">
        <v>314</v>
      </c>
      <c r="E161" s="23"/>
    </row>
    <row r="162" customFormat="false" ht="16.5" hidden="false" customHeight="false" outlineLevel="0" collapsed="false">
      <c r="A162" s="5"/>
      <c r="B162" s="6"/>
      <c r="C162" s="6"/>
      <c r="D162" s="7"/>
      <c r="E162" s="8"/>
    </row>
    <row r="163" customFormat="false" ht="16.5" hidden="false" customHeight="false" outlineLevel="0" collapsed="false">
      <c r="A163" s="19"/>
      <c r="B163" s="9"/>
      <c r="C163" s="9"/>
      <c r="D163" s="10"/>
      <c r="E163" s="11"/>
    </row>
    <row r="164" customFormat="false" ht="16.5" hidden="false" customHeight="false" outlineLevel="0" collapsed="false">
      <c r="A164" s="12"/>
      <c r="B164" s="13"/>
      <c r="C164" s="13"/>
      <c r="D164" s="14"/>
      <c r="E164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8.75" customHeight="true" zeroHeight="false" outlineLevelRow="0" outlineLevelCol="0"/>
  <cols>
    <col collapsed="false" customWidth="true" hidden="false" outlineLevel="0" max="15" min="2" style="24" width="13.62"/>
  </cols>
  <sheetData>
    <row r="1" customFormat="false" ht="21" hidden="false" customHeight="true" outlineLevel="0" collapsed="false">
      <c r="A1" s="25"/>
      <c r="B1" s="25" t="s">
        <v>315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21" hidden="false" customHeight="true" outlineLevel="0" collapsed="false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customFormat="false" ht="21" hidden="false" customHeight="true" outlineLevel="0" collapsed="false">
      <c r="A3" s="26" t="s">
        <v>316</v>
      </c>
      <c r="B3" s="27" t="s">
        <v>97</v>
      </c>
      <c r="C3" s="27" t="s">
        <v>41</v>
      </c>
      <c r="D3" s="27" t="s">
        <v>53</v>
      </c>
      <c r="E3" s="27" t="s">
        <v>17</v>
      </c>
      <c r="F3" s="27" t="s">
        <v>43</v>
      </c>
      <c r="G3" s="27" t="s">
        <v>47</v>
      </c>
      <c r="H3" s="28" t="s">
        <v>271</v>
      </c>
      <c r="I3" s="28" t="s">
        <v>271</v>
      </c>
      <c r="J3" s="27" t="s">
        <v>57</v>
      </c>
      <c r="K3" s="27" t="s">
        <v>49</v>
      </c>
      <c r="L3" s="27" t="s">
        <v>25</v>
      </c>
      <c r="M3" s="27" t="s">
        <v>37</v>
      </c>
      <c r="N3" s="27" t="s">
        <v>39</v>
      </c>
      <c r="O3" s="29" t="s">
        <v>145</v>
      </c>
    </row>
    <row r="4" customFormat="false" ht="21" hidden="false" customHeight="true" outlineLevel="0" collapsed="false">
      <c r="A4" s="30"/>
      <c r="B4" s="31" t="s">
        <v>101</v>
      </c>
      <c r="C4" s="31" t="s">
        <v>9</v>
      </c>
      <c r="D4" s="31" t="s">
        <v>45</v>
      </c>
      <c r="E4" s="31" t="s">
        <v>15</v>
      </c>
      <c r="F4" s="31" t="s">
        <v>19</v>
      </c>
      <c r="G4" s="31" t="s">
        <v>21</v>
      </c>
      <c r="H4" s="32" t="s">
        <v>271</v>
      </c>
      <c r="I4" s="32" t="s">
        <v>271</v>
      </c>
      <c r="J4" s="31" t="s">
        <v>23</v>
      </c>
      <c r="K4" s="31" t="s">
        <v>27</v>
      </c>
      <c r="L4" s="31" t="s">
        <v>29</v>
      </c>
      <c r="M4" s="31" t="s">
        <v>31</v>
      </c>
      <c r="N4" s="31" t="s">
        <v>148</v>
      </c>
      <c r="O4" s="33" t="s">
        <v>150</v>
      </c>
    </row>
    <row r="5" customFormat="false" ht="21" hidden="false" customHeight="true" outlineLevel="0" collapsed="false">
      <c r="A5" s="30"/>
      <c r="B5" s="31" t="s">
        <v>123</v>
      </c>
      <c r="C5" s="31" t="s">
        <v>59</v>
      </c>
      <c r="D5" s="31" t="s">
        <v>55</v>
      </c>
      <c r="E5" s="31" t="s">
        <v>13</v>
      </c>
      <c r="F5" s="31" t="s">
        <v>51</v>
      </c>
      <c r="G5" s="31" t="s">
        <v>11</v>
      </c>
      <c r="H5" s="32" t="s">
        <v>271</v>
      </c>
      <c r="I5" s="32" t="s">
        <v>271</v>
      </c>
      <c r="J5" s="31" t="s">
        <v>35</v>
      </c>
      <c r="K5" s="31" t="s">
        <v>33</v>
      </c>
      <c r="L5" s="31" t="s">
        <v>153</v>
      </c>
      <c r="M5" s="31" t="s">
        <v>155</v>
      </c>
      <c r="N5" s="31" t="s">
        <v>157</v>
      </c>
      <c r="O5" s="33" t="s">
        <v>159</v>
      </c>
    </row>
    <row r="6" customFormat="false" ht="21" hidden="false" customHeight="true" outlineLevel="0" collapsed="false">
      <c r="A6" s="34"/>
      <c r="B6" s="35" t="s">
        <v>271</v>
      </c>
      <c r="C6" s="35" t="s">
        <v>271</v>
      </c>
      <c r="D6" s="35" t="s">
        <v>271</v>
      </c>
      <c r="E6" s="35" t="s">
        <v>271</v>
      </c>
      <c r="F6" s="36" t="s">
        <v>292</v>
      </c>
      <c r="G6" s="36" t="s">
        <v>286</v>
      </c>
      <c r="H6" s="36" t="s">
        <v>305</v>
      </c>
      <c r="I6" s="36" t="s">
        <v>302</v>
      </c>
      <c r="J6" s="36" t="s">
        <v>283</v>
      </c>
      <c r="K6" s="36" t="s">
        <v>289</v>
      </c>
      <c r="L6" s="35" t="s">
        <v>269</v>
      </c>
      <c r="M6" s="35" t="s">
        <v>269</v>
      </c>
      <c r="N6" s="35" t="s">
        <v>269</v>
      </c>
      <c r="O6" s="37" t="s">
        <v>269</v>
      </c>
    </row>
    <row r="7" customFormat="false" ht="21" hidden="false" customHeight="true" outlineLevel="0" collapsed="false">
      <c r="A7" s="26" t="s">
        <v>317</v>
      </c>
      <c r="B7" s="27" t="s">
        <v>140</v>
      </c>
      <c r="C7" s="27" t="s">
        <v>216</v>
      </c>
      <c r="D7" s="27" t="s">
        <v>218</v>
      </c>
      <c r="E7" s="27" t="s">
        <v>220</v>
      </c>
      <c r="F7" s="27" t="s">
        <v>222</v>
      </c>
      <c r="G7" s="27" t="s">
        <v>224</v>
      </c>
      <c r="H7" s="28" t="s">
        <v>271</v>
      </c>
      <c r="I7" s="28" t="s">
        <v>271</v>
      </c>
      <c r="J7" s="27" t="s">
        <v>226</v>
      </c>
      <c r="K7" s="27" t="s">
        <v>228</v>
      </c>
      <c r="L7" s="27" t="s">
        <v>230</v>
      </c>
      <c r="M7" s="27" t="s">
        <v>232</v>
      </c>
      <c r="N7" s="27"/>
      <c r="O7" s="29" t="s">
        <v>242</v>
      </c>
    </row>
    <row r="8" customFormat="false" ht="21" hidden="false" customHeight="true" outlineLevel="0" collapsed="false">
      <c r="A8" s="30"/>
      <c r="B8" s="31" t="s">
        <v>129</v>
      </c>
      <c r="C8" s="31"/>
      <c r="D8" s="31" t="s">
        <v>107</v>
      </c>
      <c r="E8" s="31" t="s">
        <v>109</v>
      </c>
      <c r="F8" s="31" t="s">
        <v>111</v>
      </c>
      <c r="G8" s="31" t="s">
        <v>113</v>
      </c>
      <c r="H8" s="32" t="s">
        <v>271</v>
      </c>
      <c r="I8" s="32" t="s">
        <v>271</v>
      </c>
      <c r="J8" s="31" t="s">
        <v>115</v>
      </c>
      <c r="K8" s="31" t="s">
        <v>117</v>
      </c>
      <c r="L8" s="31" t="s">
        <v>119</v>
      </c>
      <c r="M8" s="31" t="s">
        <v>121</v>
      </c>
      <c r="N8" s="31" t="s">
        <v>166</v>
      </c>
      <c r="O8" s="33" t="s">
        <v>143</v>
      </c>
    </row>
    <row r="9" customFormat="false" ht="21" hidden="false" customHeight="true" outlineLevel="0" collapsed="false">
      <c r="A9" s="30"/>
      <c r="B9" s="31" t="s">
        <v>7</v>
      </c>
      <c r="C9" s="31" t="s">
        <v>127</v>
      </c>
      <c r="D9" s="31"/>
      <c r="E9" s="31"/>
      <c r="F9" s="31" t="s">
        <v>174</v>
      </c>
      <c r="G9" s="31" t="s">
        <v>99</v>
      </c>
      <c r="H9" s="32" t="s">
        <v>271</v>
      </c>
      <c r="I9" s="32" t="s">
        <v>271</v>
      </c>
      <c r="J9" s="31" t="s">
        <v>105</v>
      </c>
      <c r="K9" s="31" t="s">
        <v>177</v>
      </c>
      <c r="L9" s="31" t="s">
        <v>146</v>
      </c>
      <c r="M9" s="31" t="s">
        <v>163</v>
      </c>
      <c r="N9" s="31" t="s">
        <v>236</v>
      </c>
      <c r="O9" s="33" t="s">
        <v>239</v>
      </c>
    </row>
    <row r="10" customFormat="false" ht="21" hidden="false" customHeight="true" outlineLevel="0" collapsed="false">
      <c r="A10" s="34"/>
      <c r="B10" s="35" t="s">
        <v>271</v>
      </c>
      <c r="C10" s="35" t="s">
        <v>271</v>
      </c>
      <c r="D10" s="35" t="s">
        <v>271</v>
      </c>
      <c r="E10" s="35" t="s">
        <v>271</v>
      </c>
      <c r="F10" s="36" t="s">
        <v>7</v>
      </c>
      <c r="G10" s="36" t="s">
        <v>7</v>
      </c>
      <c r="H10" s="36" t="s">
        <v>7</v>
      </c>
      <c r="I10" s="36" t="s">
        <v>7</v>
      </c>
      <c r="J10" s="36" t="s">
        <v>7</v>
      </c>
      <c r="K10" s="36" t="s">
        <v>7</v>
      </c>
      <c r="L10" s="35" t="s">
        <v>269</v>
      </c>
      <c r="M10" s="35" t="s">
        <v>269</v>
      </c>
      <c r="N10" s="35" t="s">
        <v>269</v>
      </c>
      <c r="O10" s="37" t="s">
        <v>269</v>
      </c>
    </row>
    <row r="11" customFormat="false" ht="21" hidden="false" customHeight="true" outlineLevel="0" collapsed="false">
      <c r="A11" s="26" t="s">
        <v>318</v>
      </c>
      <c r="B11" s="27" t="s">
        <v>71</v>
      </c>
      <c r="C11" s="27" t="s">
        <v>73</v>
      </c>
      <c r="D11" s="27" t="s">
        <v>75</v>
      </c>
      <c r="E11" s="27" t="s">
        <v>77</v>
      </c>
      <c r="F11" s="27" t="s">
        <v>79</v>
      </c>
      <c r="G11" s="27" t="s">
        <v>81</v>
      </c>
      <c r="H11" s="28" t="s">
        <v>271</v>
      </c>
      <c r="I11" s="28" t="s">
        <v>271</v>
      </c>
      <c r="J11" s="27" t="s">
        <v>83</v>
      </c>
      <c r="K11" s="27" t="s">
        <v>85</v>
      </c>
      <c r="L11" s="27" t="s">
        <v>87</v>
      </c>
      <c r="M11" s="27" t="s">
        <v>89</v>
      </c>
      <c r="N11" s="27" t="s">
        <v>91</v>
      </c>
      <c r="O11" s="29" t="s">
        <v>93</v>
      </c>
    </row>
    <row r="12" customFormat="false" ht="21" hidden="false" customHeight="true" outlineLevel="0" collapsed="false">
      <c r="A12" s="30"/>
      <c r="B12" s="31" t="s">
        <v>172</v>
      </c>
      <c r="C12" s="31" t="n">
        <v>1</v>
      </c>
      <c r="D12" s="31" t="n">
        <v>2</v>
      </c>
      <c r="E12" s="31" t="n">
        <v>3</v>
      </c>
      <c r="F12" s="31" t="n">
        <v>4</v>
      </c>
      <c r="G12" s="31" t="n">
        <v>5</v>
      </c>
      <c r="H12" s="32" t="s">
        <v>271</v>
      </c>
      <c r="I12" s="32" t="s">
        <v>271</v>
      </c>
      <c r="J12" s="31" t="n">
        <v>6</v>
      </c>
      <c r="K12" s="31" t="n">
        <v>7</v>
      </c>
      <c r="L12" s="31" t="n">
        <v>8</v>
      </c>
      <c r="M12" s="31" t="n">
        <v>9</v>
      </c>
      <c r="N12" s="31" t="n">
        <v>0</v>
      </c>
      <c r="O12" s="33" t="s">
        <v>7</v>
      </c>
    </row>
    <row r="13" customFormat="false" ht="21" hidden="false" customHeight="true" outlineLevel="0" collapsed="false">
      <c r="A13" s="30"/>
      <c r="B13" s="31" t="s">
        <v>7</v>
      </c>
      <c r="C13" s="31" t="s">
        <v>7</v>
      </c>
      <c r="D13" s="31" t="s">
        <v>278</v>
      </c>
      <c r="E13" s="31" t="s">
        <v>280</v>
      </c>
      <c r="F13" s="31" t="s">
        <v>7</v>
      </c>
      <c r="G13" s="31" t="s">
        <v>7</v>
      </c>
      <c r="H13" s="32" t="s">
        <v>271</v>
      </c>
      <c r="I13" s="32" t="s">
        <v>271</v>
      </c>
      <c r="J13" s="31" t="s">
        <v>7</v>
      </c>
      <c r="K13" s="31" t="s">
        <v>7</v>
      </c>
      <c r="L13" s="31" t="s">
        <v>153</v>
      </c>
      <c r="M13" s="31" t="s">
        <v>155</v>
      </c>
      <c r="N13" s="31" t="s">
        <v>157</v>
      </c>
      <c r="O13" s="33" t="s">
        <v>159</v>
      </c>
    </row>
    <row r="14" customFormat="false" ht="21" hidden="false" customHeight="true" outlineLevel="0" collapsed="false">
      <c r="A14" s="34"/>
      <c r="B14" s="35" t="s">
        <v>271</v>
      </c>
      <c r="C14" s="35" t="s">
        <v>271</v>
      </c>
      <c r="D14" s="35" t="s">
        <v>271</v>
      </c>
      <c r="E14" s="35" t="s">
        <v>271</v>
      </c>
      <c r="F14" s="36" t="s">
        <v>7</v>
      </c>
      <c r="G14" s="36" t="s">
        <v>7</v>
      </c>
      <c r="H14" s="36" t="s">
        <v>7</v>
      </c>
      <c r="I14" s="36" t="s">
        <v>7</v>
      </c>
      <c r="J14" s="36" t="s">
        <v>7</v>
      </c>
      <c r="K14" s="36" t="s">
        <v>7</v>
      </c>
      <c r="L14" s="35" t="s">
        <v>269</v>
      </c>
      <c r="M14" s="35" t="s">
        <v>269</v>
      </c>
      <c r="N14" s="35" t="s">
        <v>269</v>
      </c>
      <c r="O14" s="37" t="s">
        <v>269</v>
      </c>
    </row>
    <row r="15" customFormat="false" ht="21" hidden="false" customHeight="true" outlineLevel="0" collapsed="false">
      <c r="A15" s="26" t="s">
        <v>319</v>
      </c>
      <c r="B15" s="27" t="s">
        <v>97</v>
      </c>
      <c r="C15" s="27" t="s">
        <v>41</v>
      </c>
      <c r="D15" s="27" t="s">
        <v>53</v>
      </c>
      <c r="E15" s="27" t="s">
        <v>17</v>
      </c>
      <c r="F15" s="27" t="s">
        <v>43</v>
      </c>
      <c r="G15" s="27" t="s">
        <v>47</v>
      </c>
      <c r="H15" s="28" t="s">
        <v>271</v>
      </c>
      <c r="I15" s="28" t="s">
        <v>271</v>
      </c>
      <c r="J15" s="27" t="s">
        <v>57</v>
      </c>
      <c r="K15" s="27" t="s">
        <v>49</v>
      </c>
      <c r="L15" s="27" t="s">
        <v>25</v>
      </c>
      <c r="M15" s="27" t="s">
        <v>37</v>
      </c>
      <c r="N15" s="27" t="s">
        <v>39</v>
      </c>
      <c r="O15" s="29" t="s">
        <v>145</v>
      </c>
    </row>
    <row r="16" customFormat="false" ht="21" hidden="false" customHeight="true" outlineLevel="0" collapsed="false">
      <c r="A16" s="30"/>
      <c r="B16" s="31" t="s">
        <v>101</v>
      </c>
      <c r="C16" s="31" t="s">
        <v>9</v>
      </c>
      <c r="D16" s="31" t="s">
        <v>45</v>
      </c>
      <c r="E16" s="31" t="s">
        <v>15</v>
      </c>
      <c r="F16" s="31" t="s">
        <v>19</v>
      </c>
      <c r="G16" s="31" t="s">
        <v>21</v>
      </c>
      <c r="H16" s="32" t="s">
        <v>271</v>
      </c>
      <c r="I16" s="32" t="s">
        <v>271</v>
      </c>
      <c r="J16" s="31" t="s">
        <v>23</v>
      </c>
      <c r="K16" s="31" t="s">
        <v>27</v>
      </c>
      <c r="L16" s="31" t="s">
        <v>29</v>
      </c>
      <c r="M16" s="31" t="s">
        <v>31</v>
      </c>
      <c r="N16" s="31" t="s">
        <v>148</v>
      </c>
      <c r="O16" s="33" t="s">
        <v>150</v>
      </c>
    </row>
    <row r="17" customFormat="false" ht="21" hidden="false" customHeight="true" outlineLevel="0" collapsed="false">
      <c r="A17" s="30"/>
      <c r="B17" s="31" t="s">
        <v>7</v>
      </c>
      <c r="C17" s="31" t="s">
        <v>59</v>
      </c>
      <c r="D17" s="31" t="s">
        <v>55</v>
      </c>
      <c r="E17" s="31" t="s">
        <v>13</v>
      </c>
      <c r="F17" s="31" t="s">
        <v>51</v>
      </c>
      <c r="G17" s="31" t="s">
        <v>11</v>
      </c>
      <c r="H17" s="32" t="s">
        <v>271</v>
      </c>
      <c r="I17" s="32" t="s">
        <v>271</v>
      </c>
      <c r="J17" s="31" t="s">
        <v>35</v>
      </c>
      <c r="K17" s="31" t="s">
        <v>33</v>
      </c>
      <c r="L17" s="31" t="s">
        <v>7</v>
      </c>
      <c r="M17" s="31" t="s">
        <v>7</v>
      </c>
      <c r="N17" s="31" t="s">
        <v>7</v>
      </c>
      <c r="O17" s="33" t="s">
        <v>7</v>
      </c>
    </row>
    <row r="18" customFormat="false" ht="21" hidden="false" customHeight="true" outlineLevel="0" collapsed="false">
      <c r="A18" s="34"/>
      <c r="B18" s="35" t="s">
        <v>271</v>
      </c>
      <c r="C18" s="35" t="s">
        <v>271</v>
      </c>
      <c r="D18" s="35" t="s">
        <v>271</v>
      </c>
      <c r="E18" s="35" t="s">
        <v>271</v>
      </c>
      <c r="F18" s="36" t="s">
        <v>292</v>
      </c>
      <c r="G18" s="36" t="s">
        <v>103</v>
      </c>
      <c r="H18" s="36" t="s">
        <v>298</v>
      </c>
      <c r="I18" s="36" t="s">
        <v>295</v>
      </c>
      <c r="J18" s="36" t="s">
        <v>95</v>
      </c>
      <c r="K18" s="36" t="s">
        <v>289</v>
      </c>
      <c r="L18" s="35" t="s">
        <v>269</v>
      </c>
      <c r="M18" s="35" t="s">
        <v>269</v>
      </c>
      <c r="N18" s="35" t="s">
        <v>269</v>
      </c>
      <c r="O18" s="37" t="s">
        <v>269</v>
      </c>
    </row>
    <row r="19" customFormat="false" ht="21" hidden="false" customHeight="true" outlineLevel="0" collapsed="false">
      <c r="A19" s="26" t="s">
        <v>320</v>
      </c>
      <c r="B19" s="27"/>
      <c r="C19" s="27" t="s">
        <v>216</v>
      </c>
      <c r="D19" s="27" t="s">
        <v>218</v>
      </c>
      <c r="E19" s="27" t="s">
        <v>220</v>
      </c>
      <c r="F19" s="27" t="s">
        <v>222</v>
      </c>
      <c r="G19" s="27" t="s">
        <v>224</v>
      </c>
      <c r="H19" s="28" t="s">
        <v>271</v>
      </c>
      <c r="I19" s="28" t="s">
        <v>271</v>
      </c>
      <c r="J19" s="27" t="s">
        <v>226</v>
      </c>
      <c r="K19" s="27" t="s">
        <v>228</v>
      </c>
      <c r="L19" s="27" t="s">
        <v>230</v>
      </c>
      <c r="M19" s="27" t="s">
        <v>232</v>
      </c>
      <c r="N19" s="27"/>
      <c r="O19" s="29" t="s">
        <v>242</v>
      </c>
    </row>
    <row r="20" customFormat="false" ht="21" hidden="false" customHeight="true" outlineLevel="0" collapsed="false">
      <c r="A20" s="30"/>
      <c r="B20" s="31"/>
      <c r="C20" s="31"/>
      <c r="D20" s="31" t="s">
        <v>107</v>
      </c>
      <c r="E20" s="31" t="s">
        <v>109</v>
      </c>
      <c r="F20" s="31" t="s">
        <v>111</v>
      </c>
      <c r="G20" s="31" t="s">
        <v>113</v>
      </c>
      <c r="H20" s="32" t="s">
        <v>271</v>
      </c>
      <c r="I20" s="32" t="s">
        <v>271</v>
      </c>
      <c r="J20" s="31" t="s">
        <v>115</v>
      </c>
      <c r="K20" s="31" t="s">
        <v>117</v>
      </c>
      <c r="L20" s="31" t="s">
        <v>119</v>
      </c>
      <c r="M20" s="31" t="s">
        <v>121</v>
      </c>
      <c r="N20" s="31" t="s">
        <v>166</v>
      </c>
      <c r="O20" s="33" t="s">
        <v>143</v>
      </c>
    </row>
    <row r="21" customFormat="false" ht="21" hidden="false" customHeight="true" outlineLevel="0" collapsed="false">
      <c r="A21" s="30"/>
      <c r="B21" s="31" t="s">
        <v>7</v>
      </c>
      <c r="C21" s="31" t="s">
        <v>127</v>
      </c>
      <c r="D21" s="31"/>
      <c r="E21" s="31"/>
      <c r="F21" s="31" t="s">
        <v>174</v>
      </c>
      <c r="G21" s="31" t="s">
        <v>99</v>
      </c>
      <c r="H21" s="32" t="s">
        <v>271</v>
      </c>
      <c r="I21" s="32" t="s">
        <v>271</v>
      </c>
      <c r="J21" s="31" t="s">
        <v>105</v>
      </c>
      <c r="K21" s="31" t="s">
        <v>177</v>
      </c>
      <c r="L21" s="31" t="s">
        <v>146</v>
      </c>
      <c r="M21" s="31" t="s">
        <v>163</v>
      </c>
      <c r="N21" s="31" t="s">
        <v>236</v>
      </c>
      <c r="O21" s="33" t="s">
        <v>239</v>
      </c>
    </row>
    <row r="22" customFormat="false" ht="21" hidden="false" customHeight="true" outlineLevel="0" collapsed="false">
      <c r="A22" s="34"/>
      <c r="B22" s="35" t="s">
        <v>271</v>
      </c>
      <c r="C22" s="35" t="s">
        <v>271</v>
      </c>
      <c r="D22" s="35" t="s">
        <v>271</v>
      </c>
      <c r="E22" s="35" t="s">
        <v>271</v>
      </c>
      <c r="F22" s="36" t="s">
        <v>7</v>
      </c>
      <c r="G22" s="36" t="s">
        <v>7</v>
      </c>
      <c r="H22" s="36" t="s">
        <v>7</v>
      </c>
      <c r="I22" s="36" t="s">
        <v>7</v>
      </c>
      <c r="J22" s="36" t="s">
        <v>7</v>
      </c>
      <c r="K22" s="36" t="s">
        <v>7</v>
      </c>
      <c r="L22" s="35" t="s">
        <v>269</v>
      </c>
      <c r="M22" s="35" t="s">
        <v>269</v>
      </c>
      <c r="N22" s="35" t="s">
        <v>269</v>
      </c>
      <c r="O22" s="37" t="s">
        <v>269</v>
      </c>
    </row>
    <row r="23" customFormat="false" ht="21" hidden="false" customHeight="true" outlineLevel="0" collapsed="false">
      <c r="A23" s="26" t="s">
        <v>321</v>
      </c>
      <c r="B23" s="27" t="s">
        <v>71</v>
      </c>
      <c r="C23" s="27" t="s">
        <v>73</v>
      </c>
      <c r="D23" s="27" t="s">
        <v>75</v>
      </c>
      <c r="E23" s="27" t="s">
        <v>77</v>
      </c>
      <c r="F23" s="27" t="s">
        <v>79</v>
      </c>
      <c r="G23" s="27" t="s">
        <v>81</v>
      </c>
      <c r="H23" s="28" t="s">
        <v>271</v>
      </c>
      <c r="I23" s="28" t="s">
        <v>271</v>
      </c>
      <c r="J23" s="27" t="s">
        <v>83</v>
      </c>
      <c r="K23" s="27" t="s">
        <v>85</v>
      </c>
      <c r="L23" s="27" t="s">
        <v>87</v>
      </c>
      <c r="M23" s="27" t="s">
        <v>89</v>
      </c>
      <c r="N23" s="27" t="s">
        <v>91</v>
      </c>
      <c r="O23" s="29" t="s">
        <v>93</v>
      </c>
    </row>
    <row r="24" customFormat="false" ht="21" hidden="false" customHeight="true" outlineLevel="0" collapsed="false">
      <c r="A24" s="30"/>
      <c r="B24" s="31"/>
      <c r="C24" s="31" t="n">
        <v>1</v>
      </c>
      <c r="D24" s="31" t="n">
        <v>2</v>
      </c>
      <c r="E24" s="31" t="n">
        <v>3</v>
      </c>
      <c r="F24" s="31" t="n">
        <v>4</v>
      </c>
      <c r="G24" s="31" t="n">
        <v>5</v>
      </c>
      <c r="H24" s="32" t="s">
        <v>271</v>
      </c>
      <c r="I24" s="32" t="s">
        <v>271</v>
      </c>
      <c r="J24" s="31" t="n">
        <v>6</v>
      </c>
      <c r="K24" s="31" t="n">
        <v>7</v>
      </c>
      <c r="L24" s="31" t="n">
        <v>8</v>
      </c>
      <c r="M24" s="31" t="n">
        <v>9</v>
      </c>
      <c r="N24" s="31" t="n">
        <v>0</v>
      </c>
      <c r="O24" s="33" t="s">
        <v>7</v>
      </c>
    </row>
    <row r="25" customFormat="false" ht="21" hidden="false" customHeight="true" outlineLevel="0" collapsed="false">
      <c r="A25" s="30"/>
      <c r="B25" s="31" t="s">
        <v>7</v>
      </c>
      <c r="C25" s="31" t="s">
        <v>7</v>
      </c>
      <c r="D25" s="31" t="s">
        <v>182</v>
      </c>
      <c r="E25" s="31" t="s">
        <v>180</v>
      </c>
      <c r="F25" s="31" t="s">
        <v>7</v>
      </c>
      <c r="G25" s="31" t="s">
        <v>7</v>
      </c>
      <c r="H25" s="32" t="s">
        <v>271</v>
      </c>
      <c r="I25" s="32" t="s">
        <v>271</v>
      </c>
      <c r="J25" s="31" t="s">
        <v>7</v>
      </c>
      <c r="K25" s="31" t="s">
        <v>7</v>
      </c>
      <c r="L25" s="31" t="s">
        <v>153</v>
      </c>
      <c r="M25" s="31" t="s">
        <v>155</v>
      </c>
      <c r="N25" s="31" t="s">
        <v>157</v>
      </c>
      <c r="O25" s="33" t="s">
        <v>159</v>
      </c>
    </row>
    <row r="26" customFormat="false" ht="21" hidden="false" customHeight="true" outlineLevel="0" collapsed="false">
      <c r="A26" s="34"/>
      <c r="B26" s="35" t="s">
        <v>271</v>
      </c>
      <c r="C26" s="35" t="s">
        <v>271</v>
      </c>
      <c r="D26" s="35" t="s">
        <v>271</v>
      </c>
      <c r="E26" s="35" t="s">
        <v>271</v>
      </c>
      <c r="F26" s="36" t="s">
        <v>7</v>
      </c>
      <c r="G26" s="36" t="s">
        <v>7</v>
      </c>
      <c r="H26" s="36" t="s">
        <v>7</v>
      </c>
      <c r="I26" s="36" t="s">
        <v>7</v>
      </c>
      <c r="J26" s="36" t="s">
        <v>7</v>
      </c>
      <c r="K26" s="36" t="s">
        <v>7</v>
      </c>
      <c r="L26" s="35" t="s">
        <v>269</v>
      </c>
      <c r="M26" s="35" t="s">
        <v>269</v>
      </c>
      <c r="N26" s="35" t="s">
        <v>269</v>
      </c>
      <c r="O26" s="37" t="s">
        <v>269</v>
      </c>
    </row>
    <row r="27" customFormat="false" ht="21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customFormat="false" ht="21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customFormat="false" ht="21" hidden="false" customHeight="true" outlineLevel="0" collapsed="false">
      <c r="A29" s="26" t="s">
        <v>316</v>
      </c>
      <c r="B29" s="39" t="str">
        <f aca="false">IF(B3="",keycodes!$C$2,IF($B$1="Japanese",IF(INDEX(keycodes!$E:$E,MATCH(B3,keycodes!$A:$A,0),0)&lt;&gt;"",INDEX(keycodes!$E:$E,MATCH(B3,keycodes!$A:$A,0),0),INDEX(keycodes!$C:$C,MATCH(B3,keycodes!$A:$A,0),0)),INDEX(keycodes!$C:$C,MATCH(B3,keycodes!$B:$B,0),0)))</f>
        <v>KC_ESC</v>
      </c>
      <c r="C29" s="39" t="str">
        <f aca="false">IF(C3="",keycodes!$C$2,IF($B$1="Japanese",IF(INDEX(keycodes!$E:$E,MATCH(C3,keycodes!$A:$A,0),0)&lt;&gt;"",INDEX(keycodes!$E:$E,MATCH(C3,keycodes!$A:$A,0),0),INDEX(keycodes!$C:$C,MATCH(C3,keycodes!$A:$A,0),0)),INDEX(keycodes!$C:$C,MATCH(C3,keycodes!$B:$B,0),0)))</f>
        <v>KC_Q</v>
      </c>
      <c r="D29" s="39" t="str">
        <f aca="false">IF(D3="",keycodes!$C$2,IF($B$1="Japanese",IF(INDEX(keycodes!$E:$E,MATCH(D3,keycodes!$A:$A,0),0)&lt;&gt;"",INDEX(keycodes!$E:$E,MATCH(D3,keycodes!$A:$A,0),0),INDEX(keycodes!$C:$C,MATCH(D3,keycodes!$A:$A,0),0)),INDEX(keycodes!$C:$C,MATCH(D3,keycodes!$B:$B,0),0)))</f>
        <v>KC_W</v>
      </c>
      <c r="E29" s="39" t="str">
        <f aca="false">IF(E3="",keycodes!$C$2,IF($B$1="Japanese",IF(INDEX(keycodes!$E:$E,MATCH(E3,keycodes!$A:$A,0),0)&lt;&gt;"",INDEX(keycodes!$E:$E,MATCH(E3,keycodes!$A:$A,0),0),INDEX(keycodes!$C:$C,MATCH(E3,keycodes!$A:$A,0),0)),INDEX(keycodes!$C:$C,MATCH(E3,keycodes!$B:$B,0),0)))</f>
        <v>KC_E</v>
      </c>
      <c r="F29" s="39" t="str">
        <f aca="false">IF(F3="",keycodes!$C$2,IF($B$1="Japanese",IF(INDEX(keycodes!$E:$E,MATCH(F3,keycodes!$A:$A,0),0)&lt;&gt;"",INDEX(keycodes!$E:$E,MATCH(F3,keycodes!$A:$A,0),0),INDEX(keycodes!$C:$C,MATCH(F3,keycodes!$A:$A,0),0)),INDEX(keycodes!$C:$C,MATCH(F3,keycodes!$B:$B,0),0)))</f>
        <v>KC_R</v>
      </c>
      <c r="G29" s="39" t="str">
        <f aca="false">IF(G3="",keycodes!$C$2,IF($B$1="Japanese",IF(INDEX(keycodes!$E:$E,MATCH(G3,keycodes!$A:$A,0),0)&lt;&gt;"",INDEX(keycodes!$E:$E,MATCH(G3,keycodes!$A:$A,0),0),INDEX(keycodes!$C:$C,MATCH(G3,keycodes!$A:$A,0),0)),INDEX(keycodes!$C:$C,MATCH(G3,keycodes!$B:$B,0),0)))</f>
        <v>KC_T</v>
      </c>
      <c r="H29" s="40" t="str">
        <f aca="false">IF(H3="",keycodes!$C$2,IF($B$1="Japanese",IF(INDEX(keycodes!$E:$E,MATCH(H3,keycodes!$A:$A,0),0)&lt;&gt;"",INDEX(keycodes!$E:$E,MATCH(H3,keycodes!$A:$A,0),0),INDEX(keycodes!$C:$C,MATCH(H3,keycodes!$A:$A,0),0)),INDEX(keycodes!$C:$C,MATCH(H3,keycodes!$B:$B,0),0)))</f>
        <v>NONE</v>
      </c>
      <c r="I29" s="40" t="str">
        <f aca="false">IF(I3="",keycodes!$C$2,IF($B$1="Japanese",IF(INDEX(keycodes!$E:$E,MATCH(I3,keycodes!$A:$A,0),0)&lt;&gt;"",INDEX(keycodes!$E:$E,MATCH(I3,keycodes!$A:$A,0),0),INDEX(keycodes!$C:$C,MATCH(I3,keycodes!$A:$A,0),0)),INDEX(keycodes!$C:$C,MATCH(I3,keycodes!$B:$B,0),0)))</f>
        <v>NONE</v>
      </c>
      <c r="J29" s="39" t="str">
        <f aca="false">IF(J3="",keycodes!$C$2,IF($B$1="Japanese",IF(INDEX(keycodes!$E:$E,MATCH(J3,keycodes!$A:$A,0),0)&lt;&gt;"",INDEX(keycodes!$E:$E,MATCH(J3,keycodes!$A:$A,0),0),INDEX(keycodes!$C:$C,MATCH(J3,keycodes!$A:$A,0),0)),INDEX(keycodes!$C:$C,MATCH(J3,keycodes!$B:$B,0),0)))</f>
        <v>KC_Y</v>
      </c>
      <c r="K29" s="39" t="str">
        <f aca="false">IF(K3="",keycodes!$C$2,IF($B$1="Japanese",IF(INDEX(keycodes!$E:$E,MATCH(K3,keycodes!$A:$A,0),0)&lt;&gt;"",INDEX(keycodes!$E:$E,MATCH(K3,keycodes!$A:$A,0),0),INDEX(keycodes!$C:$C,MATCH(K3,keycodes!$A:$A,0),0)),INDEX(keycodes!$C:$C,MATCH(K3,keycodes!$B:$B,0),0)))</f>
        <v>KC_U</v>
      </c>
      <c r="L29" s="39" t="str">
        <f aca="false">IF(L3="",keycodes!$C$2,IF($B$1="Japanese",IF(INDEX(keycodes!$E:$E,MATCH(L3,keycodes!$A:$A,0),0)&lt;&gt;"",INDEX(keycodes!$E:$E,MATCH(L3,keycodes!$A:$A,0),0),INDEX(keycodes!$C:$C,MATCH(L3,keycodes!$A:$A,0),0)),INDEX(keycodes!$C:$C,MATCH(L3,keycodes!$B:$B,0),0)))</f>
        <v>KC_I</v>
      </c>
      <c r="M29" s="39" t="str">
        <f aca="false">IF(M3="",keycodes!$C$2,IF($B$1="Japanese",IF(INDEX(keycodes!$E:$E,MATCH(M3,keycodes!$A:$A,0),0)&lt;&gt;"",INDEX(keycodes!$E:$E,MATCH(M3,keycodes!$A:$A,0),0),INDEX(keycodes!$C:$C,MATCH(M3,keycodes!$A:$A,0),0)),INDEX(keycodes!$C:$C,MATCH(M3,keycodes!$B:$B,0),0)))</f>
        <v>KC_O</v>
      </c>
      <c r="N29" s="39" t="str">
        <f aca="false">IF(N3="",keycodes!$C$2,IF($B$1="Japanese",IF(INDEX(keycodes!$E:$E,MATCH(N3,keycodes!$A:$A,0),0)&lt;&gt;"",INDEX(keycodes!$E:$E,MATCH(N3,keycodes!$A:$A,0),0),INDEX(keycodes!$C:$C,MATCH(N3,keycodes!$A:$A,0),0)),INDEX(keycodes!$C:$C,MATCH(N3,keycodes!$B:$B,0),0)))</f>
        <v>KC_P</v>
      </c>
      <c r="O29" s="41" t="str">
        <f aca="false">IF(O3="",keycodes!$C$2,IF($B$1="Japanese",IF(INDEX(keycodes!$E:$E,MATCH(O3,keycodes!$A:$A,0),0)&lt;&gt;"",INDEX(keycodes!$E:$E,MATCH(O3,keycodes!$A:$A,0),0),INDEX(keycodes!$C:$C,MATCH(O3,keycodes!$A:$A,0),0)),INDEX(keycodes!$C:$C,MATCH(O3,keycodes!$B:$B,0),0)))</f>
        <v>KC_LBRC</v>
      </c>
    </row>
    <row r="30" customFormat="false" ht="21" hidden="false" customHeight="true" outlineLevel="0" collapsed="false">
      <c r="A30" s="30"/>
      <c r="B30" s="42" t="str">
        <f aca="false">IF(B4="",keycodes!$C$2,IF($B$1="Japanese",IF(INDEX(keycodes!$E:$E,MATCH(B4,keycodes!$A:$A,0),0)&lt;&gt;"",INDEX(keycodes!$E:$E,MATCH(B4,keycodes!$A:$A,0),0),INDEX(keycodes!$C:$C,MATCH(B4,keycodes!$A:$A,0),0)),INDEX(keycodes!$C:$C,MATCH(B4,keycodes!$B:$B,0),0)))</f>
        <v>KC_TAB</v>
      </c>
      <c r="C30" s="42" t="str">
        <f aca="false">IF(C4="",keycodes!$C$2,IF($B$1="Japanese",IF(INDEX(keycodes!$E:$E,MATCH(C4,keycodes!$A:$A,0),0)&lt;&gt;"",INDEX(keycodes!$E:$E,MATCH(C4,keycodes!$A:$A,0),0),INDEX(keycodes!$C:$C,MATCH(C4,keycodes!$A:$A,0),0)),INDEX(keycodes!$C:$C,MATCH(C4,keycodes!$B:$B,0),0)))</f>
        <v>KC_A</v>
      </c>
      <c r="D30" s="42" t="str">
        <f aca="false">IF(D4="",keycodes!$C$2,IF($B$1="Japanese",IF(INDEX(keycodes!$E:$E,MATCH(D4,keycodes!$A:$A,0),0)&lt;&gt;"",INDEX(keycodes!$E:$E,MATCH(D4,keycodes!$A:$A,0),0),INDEX(keycodes!$C:$C,MATCH(D4,keycodes!$A:$A,0),0)),INDEX(keycodes!$C:$C,MATCH(D4,keycodes!$B:$B,0),0)))</f>
        <v>KC_S</v>
      </c>
      <c r="E30" s="42" t="str">
        <f aca="false">IF(E4="",keycodes!$C$2,IF($B$1="Japanese",IF(INDEX(keycodes!$E:$E,MATCH(E4,keycodes!$A:$A,0),0)&lt;&gt;"",INDEX(keycodes!$E:$E,MATCH(E4,keycodes!$A:$A,0),0),INDEX(keycodes!$C:$C,MATCH(E4,keycodes!$A:$A,0),0)),INDEX(keycodes!$C:$C,MATCH(E4,keycodes!$B:$B,0),0)))</f>
        <v>KC_D</v>
      </c>
      <c r="F30" s="42" t="str">
        <f aca="false">IF(F4="",keycodes!$C$2,IF($B$1="Japanese",IF(INDEX(keycodes!$E:$E,MATCH(F4,keycodes!$A:$A,0),0)&lt;&gt;"",INDEX(keycodes!$E:$E,MATCH(F4,keycodes!$A:$A,0),0),INDEX(keycodes!$C:$C,MATCH(F4,keycodes!$A:$A,0),0)),INDEX(keycodes!$C:$C,MATCH(F4,keycodes!$B:$B,0),0)))</f>
        <v>KC_F</v>
      </c>
      <c r="G30" s="42" t="str">
        <f aca="false">IF(G4="",keycodes!$C$2,IF($B$1="Japanese",IF(INDEX(keycodes!$E:$E,MATCH(G4,keycodes!$A:$A,0),0)&lt;&gt;"",INDEX(keycodes!$E:$E,MATCH(G4,keycodes!$A:$A,0),0),INDEX(keycodes!$C:$C,MATCH(G4,keycodes!$A:$A,0),0)),INDEX(keycodes!$C:$C,MATCH(G4,keycodes!$B:$B,0),0)))</f>
        <v>KC_G</v>
      </c>
      <c r="H30" s="43" t="str">
        <f aca="false">IF(H4="",keycodes!$C$2,IF($B$1="Japanese",IF(INDEX(keycodes!$E:$E,MATCH(H4,keycodes!$A:$A,0),0)&lt;&gt;"",INDEX(keycodes!$E:$E,MATCH(H4,keycodes!$A:$A,0),0),INDEX(keycodes!$C:$C,MATCH(H4,keycodes!$A:$A,0),0)),INDEX(keycodes!$C:$C,MATCH(H4,keycodes!$B:$B,0),0)))</f>
        <v>NONE</v>
      </c>
      <c r="I30" s="43" t="str">
        <f aca="false">IF(I4="",keycodes!$C$2,IF($B$1="Japanese",IF(INDEX(keycodes!$E:$E,MATCH(I4,keycodes!$A:$A,0),0)&lt;&gt;"",INDEX(keycodes!$E:$E,MATCH(I4,keycodes!$A:$A,0),0),INDEX(keycodes!$C:$C,MATCH(I4,keycodes!$A:$A,0),0)),INDEX(keycodes!$C:$C,MATCH(I4,keycodes!$B:$B,0),0)))</f>
        <v>NONE</v>
      </c>
      <c r="J30" s="42" t="str">
        <f aca="false">IF(J4="",keycodes!$C$2,IF($B$1="Japanese",IF(INDEX(keycodes!$E:$E,MATCH(J4,keycodes!$A:$A,0),0)&lt;&gt;"",INDEX(keycodes!$E:$E,MATCH(J4,keycodes!$A:$A,0),0),INDEX(keycodes!$C:$C,MATCH(J4,keycodes!$A:$A,0),0)),INDEX(keycodes!$C:$C,MATCH(J4,keycodes!$B:$B,0),0)))</f>
        <v>KC_H</v>
      </c>
      <c r="K30" s="42" t="str">
        <f aca="false">IF(K4="",keycodes!$C$2,IF($B$1="Japanese",IF(INDEX(keycodes!$E:$E,MATCH(K4,keycodes!$A:$A,0),0)&lt;&gt;"",INDEX(keycodes!$E:$E,MATCH(K4,keycodes!$A:$A,0),0),INDEX(keycodes!$C:$C,MATCH(K4,keycodes!$A:$A,0),0)),INDEX(keycodes!$C:$C,MATCH(K4,keycodes!$B:$B,0),0)))</f>
        <v>KC_J</v>
      </c>
      <c r="L30" s="42" t="str">
        <f aca="false">IF(L4="",keycodes!$C$2,IF($B$1="Japanese",IF(INDEX(keycodes!$E:$E,MATCH(L4,keycodes!$A:$A,0),0)&lt;&gt;"",INDEX(keycodes!$E:$E,MATCH(L4,keycodes!$A:$A,0),0),INDEX(keycodes!$C:$C,MATCH(L4,keycodes!$A:$A,0),0)),INDEX(keycodes!$C:$C,MATCH(L4,keycodes!$B:$B,0),0)))</f>
        <v>KC_K</v>
      </c>
      <c r="M30" s="42" t="str">
        <f aca="false">IF(M4="",keycodes!$C$2,IF($B$1="Japanese",IF(INDEX(keycodes!$E:$E,MATCH(M4,keycodes!$A:$A,0),0)&lt;&gt;"",INDEX(keycodes!$E:$E,MATCH(M4,keycodes!$A:$A,0),0),INDEX(keycodes!$C:$C,MATCH(M4,keycodes!$A:$A,0),0)),INDEX(keycodes!$C:$C,MATCH(M4,keycodes!$B:$B,0),0)))</f>
        <v>KC_L</v>
      </c>
      <c r="N30" s="42" t="str">
        <f aca="false">IF(N4="",keycodes!$C$2,IF($B$1="Japanese",IF(INDEX(keycodes!$E:$E,MATCH(N4,keycodes!$A:$A,0),0)&lt;&gt;"",INDEX(keycodes!$E:$E,MATCH(N4,keycodes!$A:$A,0),0),INDEX(keycodes!$C:$C,MATCH(N4,keycodes!$A:$A,0),0)),INDEX(keycodes!$C:$C,MATCH(N4,keycodes!$B:$B,0),0)))</f>
        <v>KC_SCLN</v>
      </c>
      <c r="O30" s="44" t="str">
        <f aca="false">IF(O4="",keycodes!$C$2,IF($B$1="Japanese",IF(INDEX(keycodes!$E:$E,MATCH(O4,keycodes!$A:$A,0),0)&lt;&gt;"",INDEX(keycodes!$E:$E,MATCH(O4,keycodes!$A:$A,0),0),INDEX(keycodes!$C:$C,MATCH(O4,keycodes!$A:$A,0),0)),INDEX(keycodes!$C:$C,MATCH(O4,keycodes!$B:$B,0),0)))</f>
        <v>KC_QUOT</v>
      </c>
    </row>
    <row r="31" customFormat="false" ht="21" hidden="false" customHeight="true" outlineLevel="0" collapsed="false">
      <c r="A31" s="30"/>
      <c r="B31" s="42" t="str">
        <f aca="false">IF(B5="",keycodes!$C$2,IF($B$1="Japanese",IF(INDEX(keycodes!$E:$E,MATCH(B5,keycodes!$A:$A,0),0)&lt;&gt;"",INDEX(keycodes!$E:$E,MATCH(B5,keycodes!$A:$A,0),0),INDEX(keycodes!$C:$C,MATCH(B5,keycodes!$A:$A,0),0)),INDEX(keycodes!$C:$C,MATCH(B5,keycodes!$B:$B,0),0)))</f>
        <v>KC_LCTL</v>
      </c>
      <c r="C31" s="42" t="str">
        <f aca="false">IF(C5="",keycodes!$C$2,IF($B$1="Japanese",IF(INDEX(keycodes!$E:$E,MATCH(C5,keycodes!$A:$A,0),0)&lt;&gt;"",INDEX(keycodes!$E:$E,MATCH(C5,keycodes!$A:$A,0),0),INDEX(keycodes!$C:$C,MATCH(C5,keycodes!$A:$A,0),0)),INDEX(keycodes!$C:$C,MATCH(C5,keycodes!$B:$B,0),0)))</f>
        <v>KC_Z</v>
      </c>
      <c r="D31" s="42" t="str">
        <f aca="false">IF(D5="",keycodes!$C$2,IF($B$1="Japanese",IF(INDEX(keycodes!$E:$E,MATCH(D5,keycodes!$A:$A,0),0)&lt;&gt;"",INDEX(keycodes!$E:$E,MATCH(D5,keycodes!$A:$A,0),0),INDEX(keycodes!$C:$C,MATCH(D5,keycodes!$A:$A,0),0)),INDEX(keycodes!$C:$C,MATCH(D5,keycodes!$B:$B,0),0)))</f>
        <v>KC_X</v>
      </c>
      <c r="E31" s="42" t="str">
        <f aca="false">IF(E5="",keycodes!$C$2,IF($B$1="Japanese",IF(INDEX(keycodes!$E:$E,MATCH(E5,keycodes!$A:$A,0),0)&lt;&gt;"",INDEX(keycodes!$E:$E,MATCH(E5,keycodes!$A:$A,0),0),INDEX(keycodes!$C:$C,MATCH(E5,keycodes!$A:$A,0),0)),INDEX(keycodes!$C:$C,MATCH(E5,keycodes!$B:$B,0),0)))</f>
        <v>KC_C</v>
      </c>
      <c r="F31" s="42" t="str">
        <f aca="false">IF(F5="",keycodes!$C$2,IF($B$1="Japanese",IF(INDEX(keycodes!$E:$E,MATCH(F5,keycodes!$A:$A,0),0)&lt;&gt;"",INDEX(keycodes!$E:$E,MATCH(F5,keycodes!$A:$A,0),0),INDEX(keycodes!$C:$C,MATCH(F5,keycodes!$A:$A,0),0)),INDEX(keycodes!$C:$C,MATCH(F5,keycodes!$B:$B,0),0)))</f>
        <v>KC_V</v>
      </c>
      <c r="G31" s="42" t="str">
        <f aca="false">IF(G5="",keycodes!$C$2,IF($B$1="Japanese",IF(INDEX(keycodes!$E:$E,MATCH(G5,keycodes!$A:$A,0),0)&lt;&gt;"",INDEX(keycodes!$E:$E,MATCH(G5,keycodes!$A:$A,0),0),INDEX(keycodes!$C:$C,MATCH(G5,keycodes!$A:$A,0),0)),INDEX(keycodes!$C:$C,MATCH(G5,keycodes!$B:$B,0),0)))</f>
        <v>KC_B</v>
      </c>
      <c r="H31" s="43" t="str">
        <f aca="false">IF(H5="",keycodes!$C$2,IF($B$1="Japanese",IF(INDEX(keycodes!$E:$E,MATCH(H5,keycodes!$A:$A,0),0)&lt;&gt;"",INDEX(keycodes!$E:$E,MATCH(H5,keycodes!$A:$A,0),0),INDEX(keycodes!$C:$C,MATCH(H5,keycodes!$A:$A,0),0)),INDEX(keycodes!$C:$C,MATCH(H5,keycodes!$B:$B,0),0)))</f>
        <v>NONE</v>
      </c>
      <c r="I31" s="43" t="str">
        <f aca="false">IF(I5="",keycodes!$C$2,IF($B$1="Japanese",IF(INDEX(keycodes!$E:$E,MATCH(I5,keycodes!$A:$A,0),0)&lt;&gt;"",INDEX(keycodes!$E:$E,MATCH(I5,keycodes!$A:$A,0),0),INDEX(keycodes!$C:$C,MATCH(I5,keycodes!$A:$A,0),0)),INDEX(keycodes!$C:$C,MATCH(I5,keycodes!$B:$B,0),0)))</f>
        <v>NONE</v>
      </c>
      <c r="J31" s="42" t="str">
        <f aca="false">IF(J5="",keycodes!$C$2,IF($B$1="Japanese",IF(INDEX(keycodes!$E:$E,MATCH(J5,keycodes!$A:$A,0),0)&lt;&gt;"",INDEX(keycodes!$E:$E,MATCH(J5,keycodes!$A:$A,0),0),INDEX(keycodes!$C:$C,MATCH(J5,keycodes!$A:$A,0),0)),INDEX(keycodes!$C:$C,MATCH(J5,keycodes!$B:$B,0),0)))</f>
        <v>KC_N</v>
      </c>
      <c r="K31" s="42" t="str">
        <f aca="false">IF(K5="",keycodes!$C$2,IF($B$1="Japanese",IF(INDEX(keycodes!$E:$E,MATCH(K5,keycodes!$A:$A,0),0)&lt;&gt;"",INDEX(keycodes!$E:$E,MATCH(K5,keycodes!$A:$A,0),0),INDEX(keycodes!$C:$C,MATCH(K5,keycodes!$A:$A,0),0)),INDEX(keycodes!$C:$C,MATCH(K5,keycodes!$B:$B,0),0)))</f>
        <v>KC_M</v>
      </c>
      <c r="L31" s="42" t="str">
        <f aca="false">IF(L5="",keycodes!$C$2,IF($B$1="Japanese",IF(INDEX(keycodes!$E:$E,MATCH(L5,keycodes!$A:$A,0),0)&lt;&gt;"",INDEX(keycodes!$E:$E,MATCH(L5,keycodes!$A:$A,0),0),INDEX(keycodes!$C:$C,MATCH(L5,keycodes!$A:$A,0),0)),INDEX(keycodes!$C:$C,MATCH(L5,keycodes!$B:$B,0),0)))</f>
        <v>KC_COMM</v>
      </c>
      <c r="M31" s="42" t="str">
        <f aca="false">IF(M5="",keycodes!$C$2,IF($B$1="Japanese",IF(INDEX(keycodes!$E:$E,MATCH(M5,keycodes!$A:$A,0),0)&lt;&gt;"",INDEX(keycodes!$E:$E,MATCH(M5,keycodes!$A:$A,0),0),INDEX(keycodes!$C:$C,MATCH(M5,keycodes!$A:$A,0),0)),INDEX(keycodes!$C:$C,MATCH(M5,keycodes!$B:$B,0),0)))</f>
        <v>KC_DOT</v>
      </c>
      <c r="N31" s="42" t="str">
        <f aca="false">IF(N5="",keycodes!$C$2,IF($B$1="Japanese",IF(INDEX(keycodes!$E:$E,MATCH(N5,keycodes!$A:$A,0),0)&lt;&gt;"",INDEX(keycodes!$E:$E,MATCH(N5,keycodes!$A:$A,0),0),INDEX(keycodes!$C:$C,MATCH(N5,keycodes!$A:$A,0),0)),INDEX(keycodes!$C:$C,MATCH(N5,keycodes!$B:$B,0),0)))</f>
        <v>KC_SLSH</v>
      </c>
      <c r="O31" s="44" t="str">
        <f aca="false">IF(O5="",keycodes!$C$2,IF($B$1="Japanese",IF(INDEX(keycodes!$E:$E,MATCH(O5,keycodes!$A:$A,0),0)&lt;&gt;"",INDEX(keycodes!$E:$E,MATCH(O5,keycodes!$A:$A,0),0),INDEX(keycodes!$C:$C,MATCH(O5,keycodes!$A:$A,0),0)),INDEX(keycodes!$C:$C,MATCH(O5,keycodes!$B:$B,0),0)))</f>
        <v>KC_INT1</v>
      </c>
    </row>
    <row r="32" customFormat="false" ht="21" hidden="false" customHeight="true" outlineLevel="0" collapsed="false">
      <c r="A32" s="34"/>
      <c r="B32" s="45" t="str">
        <f aca="false">IF(B6="",keycodes!$C$2,IF($B$1="Japanese",IF(INDEX(keycodes!$E:$E,MATCH(B6,keycodes!$A:$A,0),0)&lt;&gt;"",INDEX(keycodes!$E:$E,MATCH(B6,keycodes!$A:$A,0),0),INDEX(keycodes!$C:$C,MATCH(B6,keycodes!$A:$A,0),0)),INDEX(keycodes!$C:$C,MATCH(B6,keycodes!$B:$B,0),0)))</f>
        <v>NONE</v>
      </c>
      <c r="C32" s="45" t="str">
        <f aca="false">IF(C6="",keycodes!$C$2,IF($B$1="Japanese",IF(INDEX(keycodes!$E:$E,MATCH(C6,keycodes!$A:$A,0),0)&lt;&gt;"",INDEX(keycodes!$E:$E,MATCH(C6,keycodes!$A:$A,0),0),INDEX(keycodes!$C:$C,MATCH(C6,keycodes!$A:$A,0),0)),INDEX(keycodes!$C:$C,MATCH(C6,keycodes!$B:$B,0),0)))</f>
        <v>NONE</v>
      </c>
      <c r="D32" s="45" t="str">
        <f aca="false">IF(D6="",keycodes!$C$2,IF($B$1="Japanese",IF(INDEX(keycodes!$E:$E,MATCH(D6,keycodes!$A:$A,0),0)&lt;&gt;"",INDEX(keycodes!$E:$E,MATCH(D6,keycodes!$A:$A,0),0),INDEX(keycodes!$C:$C,MATCH(D6,keycodes!$A:$A,0),0)),INDEX(keycodes!$C:$C,MATCH(D6,keycodes!$B:$B,0),0)))</f>
        <v>NONE</v>
      </c>
      <c r="E32" s="45" t="str">
        <f aca="false">IF(E6="",keycodes!$C$2,IF($B$1="Japanese",IF(INDEX(keycodes!$E:$E,MATCH(E6,keycodes!$A:$A,0),0)&lt;&gt;"",INDEX(keycodes!$E:$E,MATCH(E6,keycodes!$A:$A,0),0),INDEX(keycodes!$C:$C,MATCH(E6,keycodes!$A:$A,0),0)),INDEX(keycodes!$C:$C,MATCH(E6,keycodes!$B:$B,0),0)))</f>
        <v>NONE</v>
      </c>
      <c r="F32" s="46" t="str">
        <f aca="false">IF(F6="",keycodes!$C$2,IF($B$1="Japanese",IF(INDEX(keycodes!$E:$E,MATCH(F6,keycodes!$A:$A,0),0)&lt;&gt;"",INDEX(keycodes!$E:$E,MATCH(F6,keycodes!$A:$A,0),0),INDEX(keycodes!$C:$C,MATCH(F6,keycodes!$A:$A,0),0)),INDEX(keycodes!$C:$C,MATCH(F6,keycodes!$B:$B,0),0)))</f>
        <v>TG_R</v>
      </c>
      <c r="G32" s="46" t="str">
        <f aca="false">IF(G6="",keycodes!$C$2,IF($B$1="Japanese",IF(INDEX(keycodes!$E:$E,MATCH(G6,keycodes!$A:$A,0),0)&lt;&gt;"",INDEX(keycodes!$E:$E,MATCH(G6,keycodes!$A:$A,0),0),INDEX(keycodes!$C:$C,MATCH(G6,keycodes!$A:$A,0),0)),INDEX(keycodes!$C:$C,MATCH(G6,keycodes!$B:$B,0),0)))</f>
        <v>MO_R</v>
      </c>
      <c r="H32" s="46" t="str">
        <f aca="false">IF(H6="",keycodes!$C$2,IF($B$1="Japanese",IF(INDEX(keycodes!$E:$E,MATCH(H6,keycodes!$A:$A,0),0)&lt;&gt;"",INDEX(keycodes!$E:$E,MATCH(H6,keycodes!$A:$A,0),0),INDEX(keycodes!$C:$C,MATCH(H6,keycodes!$A:$A,0),0)),INDEX(keycodes!$C:$C,MATCH(H6,keycodes!$B:$B,0),0)))</f>
        <v>LSFT_SPC</v>
      </c>
      <c r="I32" s="46" t="str">
        <f aca="false">IF(I6="",keycodes!$C$2,IF($B$1="Japanese",IF(INDEX(keycodes!$E:$E,MATCH(I6,keycodes!$A:$A,0),0)&lt;&gt;"",INDEX(keycodes!$E:$E,MATCH(I6,keycodes!$A:$A,0),0),INDEX(keycodes!$C:$C,MATCH(I6,keycodes!$A:$A,0),0)),INDEX(keycodes!$C:$C,MATCH(I6,keycodes!$B:$B,0),0)))</f>
        <v>RSTF_ENT</v>
      </c>
      <c r="J32" s="46" t="str">
        <f aca="false">IF(J6="",keycodes!$C$2,IF($B$1="Japanese",IF(INDEX(keycodes!$E:$E,MATCH(J6,keycodes!$A:$A,0),0)&lt;&gt;"",INDEX(keycodes!$E:$E,MATCH(J6,keycodes!$A:$A,0),0),INDEX(keycodes!$C:$C,MATCH(J6,keycodes!$A:$A,0),0)),INDEX(keycodes!$C:$C,MATCH(J6,keycodes!$B:$B,0),0)))</f>
        <v>MO_L</v>
      </c>
      <c r="K32" s="46" t="str">
        <f aca="false">IF(K6="",keycodes!$C$2,IF($B$1="Japanese",IF(INDEX(keycodes!$E:$E,MATCH(K6,keycodes!$A:$A,0),0)&lt;&gt;"",INDEX(keycodes!$E:$E,MATCH(K6,keycodes!$A:$A,0),0),INDEX(keycodes!$C:$C,MATCH(K6,keycodes!$A:$A,0),0)),INDEX(keycodes!$C:$C,MATCH(K6,keycodes!$B:$B,0),0)))</f>
        <v>TG_L</v>
      </c>
      <c r="L32" s="45" t="str">
        <f aca="false">IF(L6="",keycodes!$C$2,IF($B$1="Japanese",IF(INDEX(keycodes!$E:$E,MATCH(L6,keycodes!$A:$A,0),0)&lt;&gt;"",INDEX(keycodes!$E:$E,MATCH(L6,keycodes!$A:$A,0),0),INDEX(keycodes!$C:$C,MATCH(L6,keycodes!$A:$A,0),0)),INDEX(keycodes!$C:$C,MATCH(L6,keycodes!$B:$B,0),0)))</f>
        <v>TERM</v>
      </c>
      <c r="M32" s="45" t="str">
        <f aca="false">IF(M6="",keycodes!$C$2,IF($B$1="Japanese",IF(INDEX(keycodes!$E:$E,MATCH(M6,keycodes!$A:$A,0),0)&lt;&gt;"",INDEX(keycodes!$E:$E,MATCH(M6,keycodes!$A:$A,0),0),INDEX(keycodes!$C:$C,MATCH(M6,keycodes!$A:$A,0),0)),INDEX(keycodes!$C:$C,MATCH(M6,keycodes!$B:$B,0),0)))</f>
        <v>TERM</v>
      </c>
      <c r="N32" s="45" t="str">
        <f aca="false">IF(N6="",keycodes!$C$2,IF($B$1="Japanese",IF(INDEX(keycodes!$E:$E,MATCH(N6,keycodes!$A:$A,0),0)&lt;&gt;"",INDEX(keycodes!$E:$E,MATCH(N6,keycodes!$A:$A,0),0),INDEX(keycodes!$C:$C,MATCH(N6,keycodes!$A:$A,0),0)),INDEX(keycodes!$C:$C,MATCH(N6,keycodes!$B:$B,0),0)))</f>
        <v>TERM</v>
      </c>
      <c r="O32" s="47" t="str">
        <f aca="false">IF(O6="",keycodes!$C$2,IF($B$1="Japanese",IF(INDEX(keycodes!$E:$E,MATCH(O6,keycodes!$A:$A,0),0)&lt;&gt;"",INDEX(keycodes!$E:$E,MATCH(O6,keycodes!$A:$A,0),0),INDEX(keycodes!$C:$C,MATCH(O6,keycodes!$A:$A,0),0)),INDEX(keycodes!$C:$C,MATCH(O6,keycodes!$B:$B,0),0)))</f>
        <v>TERM</v>
      </c>
    </row>
    <row r="33" customFormat="false" ht="21" hidden="false" customHeight="true" outlineLevel="0" collapsed="false">
      <c r="A33" s="26" t="s">
        <v>317</v>
      </c>
      <c r="B33" s="39" t="str">
        <f aca="false">IF(B7="",keycodes!$C$2,IF($B$1="Japanese",IF(INDEX(keycodes!$E:$E,MATCH(B7,keycodes!$A:$A,0),0)&lt;&gt;"",INDEX(keycodes!$E:$E,MATCH(B7,keycodes!$A:$A,0),0),INDEX(keycodes!$C:$C,MATCH(B7,keycodes!$A:$A,0),0)),INDEX(keycodes!$C:$C,MATCH(B7,keycodes!$B:$B,0),0)))</f>
        <v>KC_APP</v>
      </c>
      <c r="C33" s="39" t="str">
        <f aca="false">IF(C7="",keycodes!$C$2,IF($B$1="Japanese",IF(INDEX(keycodes!$E:$E,MATCH(C7,keycodes!$A:$A,0),0)&lt;&gt;"",INDEX(keycodes!$E:$E,MATCH(C7,keycodes!$A:$A,0),0),INDEX(keycodes!$C:$C,MATCH(C7,keycodes!$A:$A,0),0)),INDEX(keycodes!$C:$C,MATCH(C7,keycodes!$B:$B,0),0)))</f>
        <v>S(KC_1)</v>
      </c>
      <c r="D33" s="39" t="str">
        <f aca="false">IF(D7="",keycodes!$C$2,IF($B$1="Japanese",IF(INDEX(keycodes!$E:$E,MATCH(D7,keycodes!$A:$A,0),0)&lt;&gt;"",INDEX(keycodes!$E:$E,MATCH(D7,keycodes!$A:$A,0),0),INDEX(keycodes!$C:$C,MATCH(D7,keycodes!$A:$A,0),0)),INDEX(keycodes!$C:$C,MATCH(D7,keycodes!$B:$B,0),0)))</f>
        <v>S(KC_2)</v>
      </c>
      <c r="E33" s="39" t="str">
        <f aca="false">IF(E7="",keycodes!$C$2,IF($B$1="Japanese",IF(INDEX(keycodes!$E:$E,MATCH(E7,keycodes!$A:$A,0),0)&lt;&gt;"",INDEX(keycodes!$E:$E,MATCH(E7,keycodes!$A:$A,0),0),INDEX(keycodes!$C:$C,MATCH(E7,keycodes!$A:$A,0),0)),INDEX(keycodes!$C:$C,MATCH(E7,keycodes!$B:$B,0),0)))</f>
        <v>S(KC_3)</v>
      </c>
      <c r="F33" s="39" t="str">
        <f aca="false">IF(F7="",keycodes!$C$2,IF($B$1="Japanese",IF(INDEX(keycodes!$E:$E,MATCH(F7,keycodes!$A:$A,0),0)&lt;&gt;"",INDEX(keycodes!$E:$E,MATCH(F7,keycodes!$A:$A,0),0),INDEX(keycodes!$C:$C,MATCH(F7,keycodes!$A:$A,0),0)),INDEX(keycodes!$C:$C,MATCH(F7,keycodes!$B:$B,0),0)))</f>
        <v>S(KC_4)</v>
      </c>
      <c r="G33" s="39" t="str">
        <f aca="false">IF(G7="",keycodes!$C$2,IF($B$1="Japanese",IF(INDEX(keycodes!$E:$E,MATCH(G7,keycodes!$A:$A,0),0)&lt;&gt;"",INDEX(keycodes!$E:$E,MATCH(G7,keycodes!$A:$A,0),0),INDEX(keycodes!$C:$C,MATCH(G7,keycodes!$A:$A,0),0)),INDEX(keycodes!$C:$C,MATCH(G7,keycodes!$B:$B,0),0)))</f>
        <v>S(KC_5)</v>
      </c>
      <c r="H33" s="40" t="str">
        <f aca="false">IF(H7="",keycodes!$C$2,IF($B$1="Japanese",IF(INDEX(keycodes!$E:$E,MATCH(H7,keycodes!$A:$A,0),0)&lt;&gt;"",INDEX(keycodes!$E:$E,MATCH(H7,keycodes!$A:$A,0),0),INDEX(keycodes!$C:$C,MATCH(H7,keycodes!$A:$A,0),0)),INDEX(keycodes!$C:$C,MATCH(H7,keycodes!$B:$B,0),0)))</f>
        <v>NONE</v>
      </c>
      <c r="I33" s="40" t="str">
        <f aca="false">IF(I7="",keycodes!$C$2,IF($B$1="Japanese",IF(INDEX(keycodes!$E:$E,MATCH(I7,keycodes!$A:$A,0),0)&lt;&gt;"",INDEX(keycodes!$E:$E,MATCH(I7,keycodes!$A:$A,0),0),INDEX(keycodes!$C:$C,MATCH(I7,keycodes!$A:$A,0),0)),INDEX(keycodes!$C:$C,MATCH(I7,keycodes!$B:$B,0),0)))</f>
        <v>NONE</v>
      </c>
      <c r="J33" s="39" t="str">
        <f aca="false">IF(J7="",keycodes!$C$2,IF($B$1="Japanese",IF(INDEX(keycodes!$E:$E,MATCH(J7,keycodes!$A:$A,0),0)&lt;&gt;"",INDEX(keycodes!$E:$E,MATCH(J7,keycodes!$A:$A,0),0),INDEX(keycodes!$C:$C,MATCH(J7,keycodes!$A:$A,0),0)),INDEX(keycodes!$C:$C,MATCH(J7,keycodes!$B:$B,0),0)))</f>
        <v>S(KC_6)</v>
      </c>
      <c r="K33" s="39" t="str">
        <f aca="false">IF(K7="",keycodes!$C$2,IF($B$1="Japanese",IF(INDEX(keycodes!$E:$E,MATCH(K7,keycodes!$A:$A,0),0)&lt;&gt;"",INDEX(keycodes!$E:$E,MATCH(K7,keycodes!$A:$A,0),0),INDEX(keycodes!$C:$C,MATCH(K7,keycodes!$A:$A,0),0)),INDEX(keycodes!$C:$C,MATCH(K7,keycodes!$B:$B,0),0)))</f>
        <v>S(KC_7)</v>
      </c>
      <c r="L33" s="39" t="str">
        <f aca="false">IF(L7="",keycodes!$C$2,IF($B$1="Japanese",IF(INDEX(keycodes!$E:$E,MATCH(L7,keycodes!$A:$A,0),0)&lt;&gt;"",INDEX(keycodes!$E:$E,MATCH(L7,keycodes!$A:$A,0),0),INDEX(keycodes!$C:$C,MATCH(L7,keycodes!$A:$A,0),0)),INDEX(keycodes!$C:$C,MATCH(L7,keycodes!$B:$B,0),0)))</f>
        <v>S(KC_8)</v>
      </c>
      <c r="M33" s="39" t="str">
        <f aca="false">IF(M7="",keycodes!$C$2,IF($B$1="Japanese",IF(INDEX(keycodes!$E:$E,MATCH(M7,keycodes!$A:$A,0),0)&lt;&gt;"",INDEX(keycodes!$E:$E,MATCH(M7,keycodes!$A:$A,0),0),INDEX(keycodes!$C:$C,MATCH(M7,keycodes!$A:$A,0),0)),INDEX(keycodes!$C:$C,MATCH(M7,keycodes!$B:$B,0),0)))</f>
        <v>S(KC_9)</v>
      </c>
      <c r="N33" s="39" t="str">
        <f aca="false">IF(N7="",keycodes!$C$2,IF($B$1="Japanese",IF(INDEX(keycodes!$E:$E,MATCH(N7,keycodes!$A:$A,0),0)&lt;&gt;"",INDEX(keycodes!$E:$E,MATCH(N7,keycodes!$A:$A,0),0),INDEX(keycodes!$C:$C,MATCH(N7,keycodes!$A:$A,0),0)),INDEX(keycodes!$C:$C,MATCH(N7,keycodes!$B:$B,0),0)))</f>
        <v>XXXXXXX</v>
      </c>
      <c r="O33" s="41" t="str">
        <f aca="false">IF(O7="",keycodes!$C$2,IF($B$1="Japanese",IF(INDEX(keycodes!$E:$E,MATCH(O7,keycodes!$A:$A,0),0)&lt;&gt;"",INDEX(keycodes!$E:$E,MATCH(O7,keycodes!$A:$A,0),0),INDEX(keycodes!$C:$C,MATCH(O7,keycodes!$A:$A,0),0)),INDEX(keycodes!$C:$C,MATCH(O7,keycodes!$B:$B,0),0)))</f>
        <v>S(KC_LBRC)</v>
      </c>
    </row>
    <row r="34" customFormat="false" ht="21" hidden="false" customHeight="true" outlineLevel="0" collapsed="false">
      <c r="A34" s="30"/>
      <c r="B34" s="42" t="str">
        <f aca="false">IF(B8="",keycodes!$C$2,IF($B$1="Japanese",IF(INDEX(keycodes!$E:$E,MATCH(B8,keycodes!$A:$A,0),0)&lt;&gt;"",INDEX(keycodes!$E:$E,MATCH(B8,keycodes!$A:$A,0),0),INDEX(keycodes!$C:$C,MATCH(B8,keycodes!$A:$A,0),0)),INDEX(keycodes!$C:$C,MATCH(B8,keycodes!$B:$B,0),0)))</f>
        <v>KC_LGUI</v>
      </c>
      <c r="C34" s="42" t="str">
        <f aca="false">IF(C8="",keycodes!$C$2,IF($B$1="Japanese",IF(INDEX(keycodes!$E:$E,MATCH(C8,keycodes!$A:$A,0),0)&lt;&gt;"",INDEX(keycodes!$E:$E,MATCH(C8,keycodes!$A:$A,0),0),INDEX(keycodes!$C:$C,MATCH(C8,keycodes!$A:$A,0),0)),INDEX(keycodes!$C:$C,MATCH(C8,keycodes!$B:$B,0),0)))</f>
        <v>XXXXXXX</v>
      </c>
      <c r="D34" s="42" t="str">
        <f aca="false">IF(D8="",keycodes!$C$2,IF($B$1="Japanese",IF(INDEX(keycodes!$E:$E,MATCH(D8,keycodes!$A:$A,0),0)&lt;&gt;"",INDEX(keycodes!$E:$E,MATCH(D8,keycodes!$A:$A,0),0),INDEX(keycodes!$C:$C,MATCH(D8,keycodes!$A:$A,0),0)),INDEX(keycodes!$C:$C,MATCH(D8,keycodes!$B:$B,0),0)))</f>
        <v>KC_HOME</v>
      </c>
      <c r="E34" s="42" t="str">
        <f aca="false">IF(E8="",keycodes!$C$2,IF($B$1="Japanese",IF(INDEX(keycodes!$E:$E,MATCH(E8,keycodes!$A:$A,0),0)&lt;&gt;"",INDEX(keycodes!$E:$E,MATCH(E8,keycodes!$A:$A,0),0),INDEX(keycodes!$C:$C,MATCH(E8,keycodes!$A:$A,0),0)),INDEX(keycodes!$C:$C,MATCH(E8,keycodes!$B:$B,0),0)))</f>
        <v>KC_PGUP</v>
      </c>
      <c r="F34" s="42" t="str">
        <f aca="false">IF(F8="",keycodes!$C$2,IF($B$1="Japanese",IF(INDEX(keycodes!$E:$E,MATCH(F8,keycodes!$A:$A,0),0)&lt;&gt;"",INDEX(keycodes!$E:$E,MATCH(F8,keycodes!$A:$A,0),0),INDEX(keycodes!$C:$C,MATCH(F8,keycodes!$A:$A,0),0)),INDEX(keycodes!$C:$C,MATCH(F8,keycodes!$B:$B,0),0)))</f>
        <v>KC_PGDN</v>
      </c>
      <c r="G34" s="42" t="str">
        <f aca="false">IF(G8="",keycodes!$C$2,IF($B$1="Japanese",IF(INDEX(keycodes!$E:$E,MATCH(G8,keycodes!$A:$A,0),0)&lt;&gt;"",INDEX(keycodes!$E:$E,MATCH(G8,keycodes!$A:$A,0),0),INDEX(keycodes!$C:$C,MATCH(G8,keycodes!$A:$A,0),0)),INDEX(keycodes!$C:$C,MATCH(G8,keycodes!$B:$B,0),0)))</f>
        <v>KC_END</v>
      </c>
      <c r="H34" s="43" t="str">
        <f aca="false">IF(H8="",keycodes!$C$2,IF($B$1="Japanese",IF(INDEX(keycodes!$E:$E,MATCH(H8,keycodes!$A:$A,0),0)&lt;&gt;"",INDEX(keycodes!$E:$E,MATCH(H8,keycodes!$A:$A,0),0),INDEX(keycodes!$C:$C,MATCH(H8,keycodes!$A:$A,0),0)),INDEX(keycodes!$C:$C,MATCH(H8,keycodes!$B:$B,0),0)))</f>
        <v>NONE</v>
      </c>
      <c r="I34" s="43" t="str">
        <f aca="false">IF(I8="",keycodes!$C$2,IF($B$1="Japanese",IF(INDEX(keycodes!$E:$E,MATCH(I8,keycodes!$A:$A,0),0)&lt;&gt;"",INDEX(keycodes!$E:$E,MATCH(I8,keycodes!$A:$A,0),0),INDEX(keycodes!$C:$C,MATCH(I8,keycodes!$A:$A,0),0)),INDEX(keycodes!$C:$C,MATCH(I8,keycodes!$B:$B,0),0)))</f>
        <v>NONE</v>
      </c>
      <c r="J34" s="42" t="str">
        <f aca="false">IF(J8="",keycodes!$C$2,IF($B$1="Japanese",IF(INDEX(keycodes!$E:$E,MATCH(J8,keycodes!$A:$A,0),0)&lt;&gt;"",INDEX(keycodes!$E:$E,MATCH(J8,keycodes!$A:$A,0),0),INDEX(keycodes!$C:$C,MATCH(J8,keycodes!$A:$A,0),0)),INDEX(keycodes!$C:$C,MATCH(J8,keycodes!$B:$B,0),0)))</f>
        <v>KC_LEFT</v>
      </c>
      <c r="K34" s="42" t="str">
        <f aca="false">IF(K8="",keycodes!$C$2,IF($B$1="Japanese",IF(INDEX(keycodes!$E:$E,MATCH(K8,keycodes!$A:$A,0),0)&lt;&gt;"",INDEX(keycodes!$E:$E,MATCH(K8,keycodes!$A:$A,0),0),INDEX(keycodes!$C:$C,MATCH(K8,keycodes!$A:$A,0),0)),INDEX(keycodes!$C:$C,MATCH(K8,keycodes!$B:$B,0),0)))</f>
        <v>KC_DOWN</v>
      </c>
      <c r="L34" s="42" t="str">
        <f aca="false">IF(L8="",keycodes!$C$2,IF($B$1="Japanese",IF(INDEX(keycodes!$E:$E,MATCH(L8,keycodes!$A:$A,0),0)&lt;&gt;"",INDEX(keycodes!$E:$E,MATCH(L8,keycodes!$A:$A,0),0),INDEX(keycodes!$C:$C,MATCH(L8,keycodes!$A:$A,0),0)),INDEX(keycodes!$C:$C,MATCH(L8,keycodes!$B:$B,0),0)))</f>
        <v>KC_UP</v>
      </c>
      <c r="M34" s="42" t="str">
        <f aca="false">IF(M8="",keycodes!$C$2,IF($B$1="Japanese",IF(INDEX(keycodes!$E:$E,MATCH(M8,keycodes!$A:$A,0),0)&lt;&gt;"",INDEX(keycodes!$E:$E,MATCH(M8,keycodes!$A:$A,0),0),INDEX(keycodes!$C:$C,MATCH(M8,keycodes!$A:$A,0),0)),INDEX(keycodes!$C:$C,MATCH(M8,keycodes!$B:$B,0),0)))</f>
        <v>KC_RGHT</v>
      </c>
      <c r="N34" s="42" t="str">
        <f aca="false">IF(N8="",keycodes!$C$2,IF($B$1="Japanese",IF(INDEX(keycodes!$E:$E,MATCH(N8,keycodes!$A:$A,0),0)&lt;&gt;"",INDEX(keycodes!$E:$E,MATCH(N8,keycodes!$A:$A,0),0),INDEX(keycodes!$C:$C,MATCH(N8,keycodes!$A:$A,0),0)),INDEX(keycodes!$C:$C,MATCH(N8,keycodes!$B:$B,0),0)))</f>
        <v>KC_EQL</v>
      </c>
      <c r="O34" s="44" t="str">
        <f aca="false">IF(O8="",keycodes!$C$2,IF($B$1="Japanese",IF(INDEX(keycodes!$E:$E,MATCH(O8,keycodes!$A:$A,0),0)&lt;&gt;"",INDEX(keycodes!$E:$E,MATCH(O8,keycodes!$A:$A,0),0),INDEX(keycodes!$C:$C,MATCH(O8,keycodes!$A:$A,0),0)),INDEX(keycodes!$C:$C,MATCH(O8,keycodes!$B:$B,0),0)))</f>
        <v>KC_MINS</v>
      </c>
    </row>
    <row r="35" customFormat="false" ht="21" hidden="false" customHeight="true" outlineLevel="0" collapsed="false">
      <c r="A35" s="30"/>
      <c r="B35" s="42" t="str">
        <f aca="false">IF(B9="",keycodes!$C$2,IF($B$1="Japanese",IF(INDEX(keycodes!$E:$E,MATCH(B9,keycodes!$A:$A,0),0)&lt;&gt;"",INDEX(keycodes!$E:$E,MATCH(B9,keycodes!$A:$A,0),0),INDEX(keycodes!$C:$C,MATCH(B9,keycodes!$A:$A,0),0)),INDEX(keycodes!$C:$C,MATCH(B9,keycodes!$B:$B,0),0)))</f>
        <v>_______</v>
      </c>
      <c r="C35" s="42" t="str">
        <f aca="false">IF(C9="",keycodes!$C$2,IF($B$1="Japanese",IF(INDEX(keycodes!$E:$E,MATCH(C9,keycodes!$A:$A,0),0)&lt;&gt;"",INDEX(keycodes!$E:$E,MATCH(C9,keycodes!$A:$A,0),0),INDEX(keycodes!$C:$C,MATCH(C9,keycodes!$A:$A,0),0)),INDEX(keycodes!$C:$C,MATCH(C9,keycodes!$B:$B,0),0)))</f>
        <v>KC_LALT</v>
      </c>
      <c r="D35" s="42" t="str">
        <f aca="false">IF(D9="",keycodes!$C$2,IF($B$1="Japanese",IF(INDEX(keycodes!$E:$E,MATCH(D9,keycodes!$A:$A,0),0)&lt;&gt;"",INDEX(keycodes!$E:$E,MATCH(D9,keycodes!$A:$A,0),0),INDEX(keycodes!$C:$C,MATCH(D9,keycodes!$A:$A,0),0)),INDEX(keycodes!$C:$C,MATCH(D9,keycodes!$B:$B,0),0)))</f>
        <v>XXXXXXX</v>
      </c>
      <c r="E35" s="42" t="str">
        <f aca="false">IF(E9="",keycodes!$C$2,IF($B$1="Japanese",IF(INDEX(keycodes!$E:$E,MATCH(E9,keycodes!$A:$A,0),0)&lt;&gt;"",INDEX(keycodes!$E:$E,MATCH(E9,keycodes!$A:$A,0),0),INDEX(keycodes!$C:$C,MATCH(E9,keycodes!$A:$A,0),0)),INDEX(keycodes!$C:$C,MATCH(E9,keycodes!$B:$B,0),0)))</f>
        <v>XXXXXXX</v>
      </c>
      <c r="F35" s="42" t="str">
        <f aca="false">IF(F9="",keycodes!$C$2,IF($B$1="Japanese",IF(INDEX(keycodes!$E:$E,MATCH(F9,keycodes!$A:$A,0),0)&lt;&gt;"",INDEX(keycodes!$E:$E,MATCH(F9,keycodes!$A:$A,0),0),INDEX(keycodes!$C:$C,MATCH(F9,keycodes!$A:$A,0),0)),INDEX(keycodes!$C:$C,MATCH(F9,keycodes!$B:$B,0),0)))</f>
        <v>KC_INT5</v>
      </c>
      <c r="G35" s="42" t="str">
        <f aca="false">IF(G9="",keycodes!$C$2,IF($B$1="Japanese",IF(INDEX(keycodes!$E:$E,MATCH(G9,keycodes!$A:$A,0),0)&lt;&gt;"",INDEX(keycodes!$E:$E,MATCH(G9,keycodes!$A:$A,0),0),INDEX(keycodes!$C:$C,MATCH(G9,keycodes!$A:$A,0),0)),INDEX(keycodes!$C:$C,MATCH(G9,keycodes!$B:$B,0),0)))</f>
        <v>KC_BSPC</v>
      </c>
      <c r="H35" s="43" t="str">
        <f aca="false">IF(H9="",keycodes!$C$2,IF($B$1="Japanese",IF(INDEX(keycodes!$E:$E,MATCH(H9,keycodes!$A:$A,0),0)&lt;&gt;"",INDEX(keycodes!$E:$E,MATCH(H9,keycodes!$A:$A,0),0),INDEX(keycodes!$C:$C,MATCH(H9,keycodes!$A:$A,0),0)),INDEX(keycodes!$C:$C,MATCH(H9,keycodes!$B:$B,0),0)))</f>
        <v>NONE</v>
      </c>
      <c r="I35" s="43" t="str">
        <f aca="false">IF(I9="",keycodes!$C$2,IF($B$1="Japanese",IF(INDEX(keycodes!$E:$E,MATCH(I9,keycodes!$A:$A,0),0)&lt;&gt;"",INDEX(keycodes!$E:$E,MATCH(I9,keycodes!$A:$A,0),0),INDEX(keycodes!$C:$C,MATCH(I9,keycodes!$A:$A,0),0)),INDEX(keycodes!$C:$C,MATCH(I9,keycodes!$B:$B,0),0)))</f>
        <v>NONE</v>
      </c>
      <c r="J35" s="42" t="str">
        <f aca="false">IF(J9="",keycodes!$C$2,IF($B$1="Japanese",IF(INDEX(keycodes!$E:$E,MATCH(J9,keycodes!$A:$A,0),0)&lt;&gt;"",INDEX(keycodes!$E:$E,MATCH(J9,keycodes!$A:$A,0),0),INDEX(keycodes!$C:$C,MATCH(J9,keycodes!$A:$A,0),0)),INDEX(keycodes!$C:$C,MATCH(J9,keycodes!$B:$B,0),0)))</f>
        <v>KC_DEL</v>
      </c>
      <c r="K35" s="42" t="str">
        <f aca="false">IF(K9="",keycodes!$C$2,IF($B$1="Japanese",IF(INDEX(keycodes!$E:$E,MATCH(K9,keycodes!$A:$A,0),0)&lt;&gt;"",INDEX(keycodes!$E:$E,MATCH(K9,keycodes!$A:$A,0),0),INDEX(keycodes!$C:$C,MATCH(K9,keycodes!$A:$A,0),0)),INDEX(keycodes!$C:$C,MATCH(K9,keycodes!$B:$B,0),0)))</f>
        <v>KC_INT4</v>
      </c>
      <c r="L35" s="42" t="str">
        <f aca="false">IF(L9="",keycodes!$C$2,IF($B$1="Japanese",IF(INDEX(keycodes!$E:$E,MATCH(L9,keycodes!$A:$A,0),0)&lt;&gt;"",INDEX(keycodes!$E:$E,MATCH(L9,keycodes!$A:$A,0),0),INDEX(keycodes!$C:$C,MATCH(L9,keycodes!$A:$A,0),0)),INDEX(keycodes!$C:$C,MATCH(L9,keycodes!$B:$B,0),0)))</f>
        <v>KC_RBRC</v>
      </c>
      <c r="M35" s="42" t="str">
        <f aca="false">IF(M9="",keycodes!$C$2,IF($B$1="Japanese",IF(INDEX(keycodes!$E:$E,MATCH(M9,keycodes!$A:$A,0),0)&lt;&gt;"",INDEX(keycodes!$E:$E,MATCH(M9,keycodes!$A:$A,0),0),INDEX(keycodes!$C:$C,MATCH(M9,keycodes!$A:$A,0),0)),INDEX(keycodes!$C:$C,MATCH(M9,keycodes!$B:$B,0),0)))</f>
        <v>KC_BSLS</v>
      </c>
      <c r="N35" s="42" t="str">
        <f aca="false">IF(N9="",keycodes!$C$2,IF($B$1="Japanese",IF(INDEX(keycodes!$E:$E,MATCH(N9,keycodes!$A:$A,0),0)&lt;&gt;"",INDEX(keycodes!$E:$E,MATCH(N9,keycodes!$A:$A,0),0),INDEX(keycodes!$C:$C,MATCH(N9,keycodes!$A:$A,0),0)),INDEX(keycodes!$C:$C,MATCH(N9,keycodes!$B:$B,0),0)))</f>
        <v>S(KC_EQL)</v>
      </c>
      <c r="O35" s="44" t="str">
        <f aca="false">IF(O9="",keycodes!$C$2,IF($B$1="Japanese",IF(INDEX(keycodes!$E:$E,MATCH(O9,keycodes!$A:$A,0),0)&lt;&gt;"",INDEX(keycodes!$E:$E,MATCH(O9,keycodes!$A:$A,0),0),INDEX(keycodes!$C:$C,MATCH(O9,keycodes!$A:$A,0),0)),INDEX(keycodes!$C:$C,MATCH(O9,keycodes!$B:$B,0),0)))</f>
        <v>S(KC_INT3)</v>
      </c>
    </row>
    <row r="36" customFormat="false" ht="21" hidden="false" customHeight="true" outlineLevel="0" collapsed="false">
      <c r="A36" s="34"/>
      <c r="B36" s="45" t="str">
        <f aca="false">IF(B10="",keycodes!$C$2,IF($B$1="Japanese",IF(INDEX(keycodes!$E:$E,MATCH(B10,keycodes!$A:$A,0),0)&lt;&gt;"",INDEX(keycodes!$E:$E,MATCH(B10,keycodes!$A:$A,0),0),INDEX(keycodes!$C:$C,MATCH(B10,keycodes!$A:$A,0),0)),INDEX(keycodes!$C:$C,MATCH(B10,keycodes!$B:$B,0),0)))</f>
        <v>NONE</v>
      </c>
      <c r="C36" s="45" t="str">
        <f aca="false">IF(C10="",keycodes!$C$2,IF($B$1="Japanese",IF(INDEX(keycodes!$E:$E,MATCH(C10,keycodes!$A:$A,0),0)&lt;&gt;"",INDEX(keycodes!$E:$E,MATCH(C10,keycodes!$A:$A,0),0),INDEX(keycodes!$C:$C,MATCH(C10,keycodes!$A:$A,0),0)),INDEX(keycodes!$C:$C,MATCH(C10,keycodes!$B:$B,0),0)))</f>
        <v>NONE</v>
      </c>
      <c r="D36" s="45" t="str">
        <f aca="false">IF(D10="",keycodes!$C$2,IF($B$1="Japanese",IF(INDEX(keycodes!$E:$E,MATCH(D10,keycodes!$A:$A,0),0)&lt;&gt;"",INDEX(keycodes!$E:$E,MATCH(D10,keycodes!$A:$A,0),0),INDEX(keycodes!$C:$C,MATCH(D10,keycodes!$A:$A,0),0)),INDEX(keycodes!$C:$C,MATCH(D10,keycodes!$B:$B,0),0)))</f>
        <v>NONE</v>
      </c>
      <c r="E36" s="45" t="str">
        <f aca="false">IF(E10="",keycodes!$C$2,IF($B$1="Japanese",IF(INDEX(keycodes!$E:$E,MATCH(E10,keycodes!$A:$A,0),0)&lt;&gt;"",INDEX(keycodes!$E:$E,MATCH(E10,keycodes!$A:$A,0),0),INDEX(keycodes!$C:$C,MATCH(E10,keycodes!$A:$A,0),0)),INDEX(keycodes!$C:$C,MATCH(E10,keycodes!$B:$B,0),0)))</f>
        <v>NONE</v>
      </c>
      <c r="F36" s="46" t="str">
        <f aca="false">IF(F10="",keycodes!$C$2,IF($B$1="Japanese",IF(INDEX(keycodes!$E:$E,MATCH(F10,keycodes!$A:$A,0),0)&lt;&gt;"",INDEX(keycodes!$E:$E,MATCH(F10,keycodes!$A:$A,0),0),INDEX(keycodes!$C:$C,MATCH(F10,keycodes!$A:$A,0),0)),INDEX(keycodes!$C:$C,MATCH(F10,keycodes!$B:$B,0),0)))</f>
        <v>_______</v>
      </c>
      <c r="G36" s="46" t="str">
        <f aca="false">IF(G10="",keycodes!$C$2,IF($B$1="Japanese",IF(INDEX(keycodes!$E:$E,MATCH(G10,keycodes!$A:$A,0),0)&lt;&gt;"",INDEX(keycodes!$E:$E,MATCH(G10,keycodes!$A:$A,0),0),INDEX(keycodes!$C:$C,MATCH(G10,keycodes!$A:$A,0),0)),INDEX(keycodes!$C:$C,MATCH(G10,keycodes!$B:$B,0),0)))</f>
        <v>_______</v>
      </c>
      <c r="H36" s="46" t="str">
        <f aca="false">IF(H10="",keycodes!$C$2,IF($B$1="Japanese",IF(INDEX(keycodes!$E:$E,MATCH(H10,keycodes!$A:$A,0),0)&lt;&gt;"",INDEX(keycodes!$E:$E,MATCH(H10,keycodes!$A:$A,0),0),INDEX(keycodes!$C:$C,MATCH(H10,keycodes!$A:$A,0),0)),INDEX(keycodes!$C:$C,MATCH(H10,keycodes!$B:$B,0),0)))</f>
        <v>_______</v>
      </c>
      <c r="I36" s="46" t="str">
        <f aca="false">IF(I10="",keycodes!$C$2,IF($B$1="Japanese",IF(INDEX(keycodes!$E:$E,MATCH(I10,keycodes!$A:$A,0),0)&lt;&gt;"",INDEX(keycodes!$E:$E,MATCH(I10,keycodes!$A:$A,0),0),INDEX(keycodes!$C:$C,MATCH(I10,keycodes!$A:$A,0),0)),INDEX(keycodes!$C:$C,MATCH(I10,keycodes!$B:$B,0),0)))</f>
        <v>_______</v>
      </c>
      <c r="J36" s="46" t="str">
        <f aca="false">IF(J10="",keycodes!$C$2,IF($B$1="Japanese",IF(INDEX(keycodes!$E:$E,MATCH(J10,keycodes!$A:$A,0),0)&lt;&gt;"",INDEX(keycodes!$E:$E,MATCH(J10,keycodes!$A:$A,0),0),INDEX(keycodes!$C:$C,MATCH(J10,keycodes!$A:$A,0),0)),INDEX(keycodes!$C:$C,MATCH(J10,keycodes!$B:$B,0),0)))</f>
        <v>_______</v>
      </c>
      <c r="K36" s="46" t="str">
        <f aca="false">IF(K10="",keycodes!$C$2,IF($B$1="Japanese",IF(INDEX(keycodes!$E:$E,MATCH(K10,keycodes!$A:$A,0),0)&lt;&gt;"",INDEX(keycodes!$E:$E,MATCH(K10,keycodes!$A:$A,0),0),INDEX(keycodes!$C:$C,MATCH(K10,keycodes!$A:$A,0),0)),INDEX(keycodes!$C:$C,MATCH(K10,keycodes!$B:$B,0),0)))</f>
        <v>_______</v>
      </c>
      <c r="L36" s="45" t="str">
        <f aca="false">IF(L10="",keycodes!$C$2,IF($B$1="Japanese",IF(INDEX(keycodes!$E:$E,MATCH(L10,keycodes!$A:$A,0),0)&lt;&gt;"",INDEX(keycodes!$E:$E,MATCH(L10,keycodes!$A:$A,0),0),INDEX(keycodes!$C:$C,MATCH(L10,keycodes!$A:$A,0),0)),INDEX(keycodes!$C:$C,MATCH(L10,keycodes!$B:$B,0),0)))</f>
        <v>TERM</v>
      </c>
      <c r="M36" s="45" t="str">
        <f aca="false">IF(M10="",keycodes!$C$2,IF($B$1="Japanese",IF(INDEX(keycodes!$E:$E,MATCH(M10,keycodes!$A:$A,0),0)&lt;&gt;"",INDEX(keycodes!$E:$E,MATCH(M10,keycodes!$A:$A,0),0),INDEX(keycodes!$C:$C,MATCH(M10,keycodes!$A:$A,0),0)),INDEX(keycodes!$C:$C,MATCH(M10,keycodes!$B:$B,0),0)))</f>
        <v>TERM</v>
      </c>
      <c r="N36" s="45" t="str">
        <f aca="false">IF(N10="",keycodes!$C$2,IF($B$1="Japanese",IF(INDEX(keycodes!$E:$E,MATCH(N10,keycodes!$A:$A,0),0)&lt;&gt;"",INDEX(keycodes!$E:$E,MATCH(N10,keycodes!$A:$A,0),0),INDEX(keycodes!$C:$C,MATCH(N10,keycodes!$A:$A,0),0)),INDEX(keycodes!$C:$C,MATCH(N10,keycodes!$B:$B,0),0)))</f>
        <v>TERM</v>
      </c>
      <c r="O36" s="47" t="str">
        <f aca="false">IF(O10="",keycodes!$C$2,IF($B$1="Japanese",IF(INDEX(keycodes!$E:$E,MATCH(O10,keycodes!$A:$A,0),0)&lt;&gt;"",INDEX(keycodes!$E:$E,MATCH(O10,keycodes!$A:$A,0),0),INDEX(keycodes!$C:$C,MATCH(O10,keycodes!$A:$A,0),0)),INDEX(keycodes!$C:$C,MATCH(O10,keycodes!$B:$B,0),0)))</f>
        <v>TERM</v>
      </c>
    </row>
    <row r="37" customFormat="false" ht="21" hidden="false" customHeight="true" outlineLevel="0" collapsed="false">
      <c r="A37" s="26" t="s">
        <v>318</v>
      </c>
      <c r="B37" s="39" t="str">
        <f aca="false">IF(B11="",keycodes!$C$2,IF($B$1="Japanese",IF(INDEX(keycodes!$E:$E,MATCH(B11,keycodes!$A:$A,0),0)&lt;&gt;"",INDEX(keycodes!$E:$E,MATCH(B11,keycodes!$A:$A,0),0),INDEX(keycodes!$C:$C,MATCH(B11,keycodes!$A:$A,0),0)),INDEX(keycodes!$C:$C,MATCH(B11,keycodes!$B:$B,0),0)))</f>
        <v>KC_F1</v>
      </c>
      <c r="C37" s="39" t="str">
        <f aca="false">IF(C11="",keycodes!$C$2,IF($B$1="Japanese",IF(INDEX(keycodes!$E:$E,MATCH(C11,keycodes!$A:$A,0),0)&lt;&gt;"",INDEX(keycodes!$E:$E,MATCH(C11,keycodes!$A:$A,0),0),INDEX(keycodes!$C:$C,MATCH(C11,keycodes!$A:$A,0),0)),INDEX(keycodes!$C:$C,MATCH(C11,keycodes!$B:$B,0),0)))</f>
        <v>KC_F2</v>
      </c>
      <c r="D37" s="39" t="str">
        <f aca="false">IF(D11="",keycodes!$C$2,IF($B$1="Japanese",IF(INDEX(keycodes!$E:$E,MATCH(D11,keycodes!$A:$A,0),0)&lt;&gt;"",INDEX(keycodes!$E:$E,MATCH(D11,keycodes!$A:$A,0),0),INDEX(keycodes!$C:$C,MATCH(D11,keycodes!$A:$A,0),0)),INDEX(keycodes!$C:$C,MATCH(D11,keycodes!$B:$B,0),0)))</f>
        <v>KC_F3</v>
      </c>
      <c r="E37" s="39" t="str">
        <f aca="false">IF(E11="",keycodes!$C$2,IF($B$1="Japanese",IF(INDEX(keycodes!$E:$E,MATCH(E11,keycodes!$A:$A,0),0)&lt;&gt;"",INDEX(keycodes!$E:$E,MATCH(E11,keycodes!$A:$A,0),0),INDEX(keycodes!$C:$C,MATCH(E11,keycodes!$A:$A,0),0)),INDEX(keycodes!$C:$C,MATCH(E11,keycodes!$B:$B,0),0)))</f>
        <v>KC_F4</v>
      </c>
      <c r="F37" s="39" t="str">
        <f aca="false">IF(F11="",keycodes!$C$2,IF($B$1="Japanese",IF(INDEX(keycodes!$E:$E,MATCH(F11,keycodes!$A:$A,0),0)&lt;&gt;"",INDEX(keycodes!$E:$E,MATCH(F11,keycodes!$A:$A,0),0),INDEX(keycodes!$C:$C,MATCH(F11,keycodes!$A:$A,0),0)),INDEX(keycodes!$C:$C,MATCH(F11,keycodes!$B:$B,0),0)))</f>
        <v>KC_F5</v>
      </c>
      <c r="G37" s="39" t="str">
        <f aca="false">IF(G11="",keycodes!$C$2,IF($B$1="Japanese",IF(INDEX(keycodes!$E:$E,MATCH(G11,keycodes!$A:$A,0),0)&lt;&gt;"",INDEX(keycodes!$E:$E,MATCH(G11,keycodes!$A:$A,0),0),INDEX(keycodes!$C:$C,MATCH(G11,keycodes!$A:$A,0),0)),INDEX(keycodes!$C:$C,MATCH(G11,keycodes!$B:$B,0),0)))</f>
        <v>KC_F6</v>
      </c>
      <c r="H37" s="40" t="str">
        <f aca="false">IF(H11="",keycodes!$C$2,IF($B$1="Japanese",IF(INDEX(keycodes!$E:$E,MATCH(H11,keycodes!$A:$A,0),0)&lt;&gt;"",INDEX(keycodes!$E:$E,MATCH(H11,keycodes!$A:$A,0),0),INDEX(keycodes!$C:$C,MATCH(H11,keycodes!$A:$A,0),0)),INDEX(keycodes!$C:$C,MATCH(H11,keycodes!$B:$B,0),0)))</f>
        <v>NONE</v>
      </c>
      <c r="I37" s="40" t="str">
        <f aca="false">IF(I11="",keycodes!$C$2,IF($B$1="Japanese",IF(INDEX(keycodes!$E:$E,MATCH(I11,keycodes!$A:$A,0),0)&lt;&gt;"",INDEX(keycodes!$E:$E,MATCH(I11,keycodes!$A:$A,0),0),INDEX(keycodes!$C:$C,MATCH(I11,keycodes!$A:$A,0),0)),INDEX(keycodes!$C:$C,MATCH(I11,keycodes!$B:$B,0),0)))</f>
        <v>NONE</v>
      </c>
      <c r="J37" s="39" t="str">
        <f aca="false">IF(J11="",keycodes!$C$2,IF($B$1="Japanese",IF(INDEX(keycodes!$E:$E,MATCH(J11,keycodes!$A:$A,0),0)&lt;&gt;"",INDEX(keycodes!$E:$E,MATCH(J11,keycodes!$A:$A,0),0),INDEX(keycodes!$C:$C,MATCH(J11,keycodes!$A:$A,0),0)),INDEX(keycodes!$C:$C,MATCH(J11,keycodes!$B:$B,0),0)))</f>
        <v>KC_F7</v>
      </c>
      <c r="K37" s="39" t="str">
        <f aca="false">IF(K11="",keycodes!$C$2,IF($B$1="Japanese",IF(INDEX(keycodes!$E:$E,MATCH(K11,keycodes!$A:$A,0),0)&lt;&gt;"",INDEX(keycodes!$E:$E,MATCH(K11,keycodes!$A:$A,0),0),INDEX(keycodes!$C:$C,MATCH(K11,keycodes!$A:$A,0),0)),INDEX(keycodes!$C:$C,MATCH(K11,keycodes!$B:$B,0),0)))</f>
        <v>KC_F8</v>
      </c>
      <c r="L37" s="39" t="str">
        <f aca="false">IF(L11="",keycodes!$C$2,IF($B$1="Japanese",IF(INDEX(keycodes!$E:$E,MATCH(L11,keycodes!$A:$A,0),0)&lt;&gt;"",INDEX(keycodes!$E:$E,MATCH(L11,keycodes!$A:$A,0),0),INDEX(keycodes!$C:$C,MATCH(L11,keycodes!$A:$A,0),0)),INDEX(keycodes!$C:$C,MATCH(L11,keycodes!$B:$B,0),0)))</f>
        <v>KC_F9</v>
      </c>
      <c r="M37" s="39" t="str">
        <f aca="false">IF(M11="",keycodes!$C$2,IF($B$1="Japanese",IF(INDEX(keycodes!$E:$E,MATCH(M11,keycodes!$A:$A,0),0)&lt;&gt;"",INDEX(keycodes!$E:$E,MATCH(M11,keycodes!$A:$A,0),0),INDEX(keycodes!$C:$C,MATCH(M11,keycodes!$A:$A,0),0)),INDEX(keycodes!$C:$C,MATCH(M11,keycodes!$B:$B,0),0)))</f>
        <v>KC_F10</v>
      </c>
      <c r="N37" s="39" t="str">
        <f aca="false">IF(N11="",keycodes!$C$2,IF($B$1="Japanese",IF(INDEX(keycodes!$E:$E,MATCH(N11,keycodes!$A:$A,0),0)&lt;&gt;"",INDEX(keycodes!$E:$E,MATCH(N11,keycodes!$A:$A,0),0),INDEX(keycodes!$C:$C,MATCH(N11,keycodes!$A:$A,0),0)),INDEX(keycodes!$C:$C,MATCH(N11,keycodes!$B:$B,0),0)))</f>
        <v>KC_F11</v>
      </c>
      <c r="O37" s="41" t="str">
        <f aca="false">IF(O11="",keycodes!$C$2,IF($B$1="Japanese",IF(INDEX(keycodes!$E:$E,MATCH(O11,keycodes!$A:$A,0),0)&lt;&gt;"",INDEX(keycodes!$E:$E,MATCH(O11,keycodes!$A:$A,0),0),INDEX(keycodes!$C:$C,MATCH(O11,keycodes!$A:$A,0),0)),INDEX(keycodes!$C:$C,MATCH(O11,keycodes!$B:$B,0),0)))</f>
        <v>KC_F12</v>
      </c>
    </row>
    <row r="38" customFormat="false" ht="21" hidden="false" customHeight="true" outlineLevel="0" collapsed="false">
      <c r="A38" s="30"/>
      <c r="B38" s="42" t="str">
        <f aca="false">IF(B12="",keycodes!$C$2,IF($B$1="Japanese",IF(INDEX(keycodes!$E:$E,MATCH(B12,keycodes!$A:$A,0),0)&lt;&gt;"",INDEX(keycodes!$E:$E,MATCH(B12,keycodes!$A:$A,0),0),INDEX(keycodes!$C:$C,MATCH(B12,keycodes!$A:$A,0),0)),INDEX(keycodes!$C:$C,MATCH(B12,keycodes!$B:$B,0),0)))</f>
        <v>KC_GRV</v>
      </c>
      <c r="C38" s="42" t="str">
        <f aca="false">IF(C12="",keycodes!$C$2,IF($B$1="Japanese",IF(INDEX(keycodes!$E:$E,MATCH(C12,keycodes!$A:$A,0),0)&lt;&gt;"",INDEX(keycodes!$E:$E,MATCH(C12,keycodes!$A:$A,0),0),INDEX(keycodes!$C:$C,MATCH(C12,keycodes!$A:$A,0),0)),INDEX(keycodes!$C:$C,MATCH(C12,keycodes!$B:$B,0),0)))</f>
        <v>KC_1</v>
      </c>
      <c r="D38" s="42" t="str">
        <f aca="false">IF(D12="",keycodes!$C$2,IF($B$1="Japanese",IF(INDEX(keycodes!$E:$E,MATCH(D12,keycodes!$A:$A,0),0)&lt;&gt;"",INDEX(keycodes!$E:$E,MATCH(D12,keycodes!$A:$A,0),0),INDEX(keycodes!$C:$C,MATCH(D12,keycodes!$A:$A,0),0)),INDEX(keycodes!$C:$C,MATCH(D12,keycodes!$B:$B,0),0)))</f>
        <v>KC_2</v>
      </c>
      <c r="E38" s="42" t="str">
        <f aca="false">IF(E12="",keycodes!$C$2,IF($B$1="Japanese",IF(INDEX(keycodes!$E:$E,MATCH(E12,keycodes!$A:$A,0),0)&lt;&gt;"",INDEX(keycodes!$E:$E,MATCH(E12,keycodes!$A:$A,0),0),INDEX(keycodes!$C:$C,MATCH(E12,keycodes!$A:$A,0),0)),INDEX(keycodes!$C:$C,MATCH(E12,keycodes!$B:$B,0),0)))</f>
        <v>KC_3</v>
      </c>
      <c r="F38" s="42" t="str">
        <f aca="false">IF(F12="",keycodes!$C$2,IF($B$1="Japanese",IF(INDEX(keycodes!$E:$E,MATCH(F12,keycodes!$A:$A,0),0)&lt;&gt;"",INDEX(keycodes!$E:$E,MATCH(F12,keycodes!$A:$A,0),0),INDEX(keycodes!$C:$C,MATCH(F12,keycodes!$A:$A,0),0)),INDEX(keycodes!$C:$C,MATCH(F12,keycodes!$B:$B,0),0)))</f>
        <v>KC_4</v>
      </c>
      <c r="G38" s="42" t="str">
        <f aca="false">IF(G12="",keycodes!$C$2,IF($B$1="Japanese",IF(INDEX(keycodes!$E:$E,MATCH(G12,keycodes!$A:$A,0),0)&lt;&gt;"",INDEX(keycodes!$E:$E,MATCH(G12,keycodes!$A:$A,0),0),INDEX(keycodes!$C:$C,MATCH(G12,keycodes!$A:$A,0),0)),INDEX(keycodes!$C:$C,MATCH(G12,keycodes!$B:$B,0),0)))</f>
        <v>KC_5</v>
      </c>
      <c r="H38" s="43" t="str">
        <f aca="false">IF(H12="",keycodes!$C$2,IF($B$1="Japanese",IF(INDEX(keycodes!$E:$E,MATCH(H12,keycodes!$A:$A,0),0)&lt;&gt;"",INDEX(keycodes!$E:$E,MATCH(H12,keycodes!$A:$A,0),0),INDEX(keycodes!$C:$C,MATCH(H12,keycodes!$A:$A,0),0)),INDEX(keycodes!$C:$C,MATCH(H12,keycodes!$B:$B,0),0)))</f>
        <v>NONE</v>
      </c>
      <c r="I38" s="43" t="str">
        <f aca="false">IF(I12="",keycodes!$C$2,IF($B$1="Japanese",IF(INDEX(keycodes!$E:$E,MATCH(I12,keycodes!$A:$A,0),0)&lt;&gt;"",INDEX(keycodes!$E:$E,MATCH(I12,keycodes!$A:$A,0),0),INDEX(keycodes!$C:$C,MATCH(I12,keycodes!$A:$A,0),0)),INDEX(keycodes!$C:$C,MATCH(I12,keycodes!$B:$B,0),0)))</f>
        <v>NONE</v>
      </c>
      <c r="J38" s="42" t="str">
        <f aca="false">IF(J12="",keycodes!$C$2,IF($B$1="Japanese",IF(INDEX(keycodes!$E:$E,MATCH(J12,keycodes!$A:$A,0),0)&lt;&gt;"",INDEX(keycodes!$E:$E,MATCH(J12,keycodes!$A:$A,0),0),INDEX(keycodes!$C:$C,MATCH(J12,keycodes!$A:$A,0),0)),INDEX(keycodes!$C:$C,MATCH(J12,keycodes!$B:$B,0),0)))</f>
        <v>KC_6</v>
      </c>
      <c r="K38" s="42" t="str">
        <f aca="false">IF(K12="",keycodes!$C$2,IF($B$1="Japanese",IF(INDEX(keycodes!$E:$E,MATCH(K12,keycodes!$A:$A,0),0)&lt;&gt;"",INDEX(keycodes!$E:$E,MATCH(K12,keycodes!$A:$A,0),0),INDEX(keycodes!$C:$C,MATCH(K12,keycodes!$A:$A,0),0)),INDEX(keycodes!$C:$C,MATCH(K12,keycodes!$B:$B,0),0)))</f>
        <v>KC_7</v>
      </c>
      <c r="L38" s="42" t="str">
        <f aca="false">IF(L12="",keycodes!$C$2,IF($B$1="Japanese",IF(INDEX(keycodes!$E:$E,MATCH(L12,keycodes!$A:$A,0),0)&lt;&gt;"",INDEX(keycodes!$E:$E,MATCH(L12,keycodes!$A:$A,0),0),INDEX(keycodes!$C:$C,MATCH(L12,keycodes!$A:$A,0),0)),INDEX(keycodes!$C:$C,MATCH(L12,keycodes!$B:$B,0),0)))</f>
        <v>KC_8</v>
      </c>
      <c r="M38" s="42" t="str">
        <f aca="false">IF(M12="",keycodes!$C$2,IF($B$1="Japanese",IF(INDEX(keycodes!$E:$E,MATCH(M12,keycodes!$A:$A,0),0)&lt;&gt;"",INDEX(keycodes!$E:$E,MATCH(M12,keycodes!$A:$A,0),0),INDEX(keycodes!$C:$C,MATCH(M12,keycodes!$A:$A,0),0)),INDEX(keycodes!$C:$C,MATCH(M12,keycodes!$B:$B,0),0)))</f>
        <v>KC_9</v>
      </c>
      <c r="N38" s="42" t="str">
        <f aca="false">IF(N12="",keycodes!$C$2,IF($B$1="Japanese",IF(INDEX(keycodes!$E:$E,MATCH(N12,keycodes!$A:$A,0),0)&lt;&gt;"",INDEX(keycodes!$E:$E,MATCH(N12,keycodes!$A:$A,0),0),INDEX(keycodes!$C:$C,MATCH(N12,keycodes!$A:$A,0),0)),INDEX(keycodes!$C:$C,MATCH(N12,keycodes!$B:$B,0),0)))</f>
        <v>KC_0</v>
      </c>
      <c r="O38" s="44" t="str">
        <f aca="false">IF(O12="",keycodes!$C$2,IF($B$1="Japanese",IF(INDEX(keycodes!$E:$E,MATCH(O12,keycodes!$A:$A,0),0)&lt;&gt;"",INDEX(keycodes!$E:$E,MATCH(O12,keycodes!$A:$A,0),0),INDEX(keycodes!$C:$C,MATCH(O12,keycodes!$A:$A,0),0)),INDEX(keycodes!$C:$C,MATCH(O12,keycodes!$B:$B,0),0)))</f>
        <v>_______</v>
      </c>
    </row>
    <row r="39" customFormat="false" ht="21" hidden="false" customHeight="true" outlineLevel="0" collapsed="false">
      <c r="A39" s="30"/>
      <c r="B39" s="42" t="str">
        <f aca="false">IF(B13="",keycodes!$C$2,IF($B$1="Japanese",IF(INDEX(keycodes!$E:$E,MATCH(B13,keycodes!$A:$A,0),0)&lt;&gt;"",INDEX(keycodes!$E:$E,MATCH(B13,keycodes!$A:$A,0),0),INDEX(keycodes!$C:$C,MATCH(B13,keycodes!$A:$A,0),0)),INDEX(keycodes!$C:$C,MATCH(B13,keycodes!$B:$B,0),0)))</f>
        <v>_______</v>
      </c>
      <c r="C39" s="42" t="str">
        <f aca="false">IF(C13="",keycodes!$C$2,IF($B$1="Japanese",IF(INDEX(keycodes!$E:$E,MATCH(C13,keycodes!$A:$A,0),0)&lt;&gt;"",INDEX(keycodes!$E:$E,MATCH(C13,keycodes!$A:$A,0),0),INDEX(keycodes!$C:$C,MATCH(C13,keycodes!$A:$A,0),0)),INDEX(keycodes!$C:$C,MATCH(C13,keycodes!$B:$B,0),0)))</f>
        <v>_______</v>
      </c>
      <c r="D39" s="42" t="str">
        <f aca="false">IF(D13="",keycodes!$C$2,IF($B$1="Japanese",IF(INDEX(keycodes!$E:$E,MATCH(D13,keycodes!$A:$A,0),0)&lt;&gt;"",INDEX(keycodes!$E:$E,MATCH(D13,keycodes!$A:$A,0),0),INDEX(keycodes!$C:$C,MATCH(D13,keycodes!$A:$A,0),0)),INDEX(keycodes!$C:$C,MATCH(D13,keycodes!$B:$B,0),0)))</f>
        <v>MS_WHLL</v>
      </c>
      <c r="E39" s="42" t="str">
        <f aca="false">IF(E13="",keycodes!$C$2,IF($B$1="Japanese",IF(INDEX(keycodes!$E:$E,MATCH(E13,keycodes!$A:$A,0),0)&lt;&gt;"",INDEX(keycodes!$E:$E,MATCH(E13,keycodes!$A:$A,0),0),INDEX(keycodes!$C:$C,MATCH(E13,keycodes!$A:$A,0),0)),INDEX(keycodes!$C:$C,MATCH(E13,keycodes!$B:$B,0),0)))</f>
        <v>MS_WHLR</v>
      </c>
      <c r="F39" s="42" t="str">
        <f aca="false">IF(F13="",keycodes!$C$2,IF($B$1="Japanese",IF(INDEX(keycodes!$E:$E,MATCH(F13,keycodes!$A:$A,0),0)&lt;&gt;"",INDEX(keycodes!$E:$E,MATCH(F13,keycodes!$A:$A,0),0),INDEX(keycodes!$C:$C,MATCH(F13,keycodes!$A:$A,0),0)),INDEX(keycodes!$C:$C,MATCH(F13,keycodes!$B:$B,0),0)))</f>
        <v>_______</v>
      </c>
      <c r="G39" s="42" t="str">
        <f aca="false">IF(G13="",keycodes!$C$2,IF($B$1="Japanese",IF(INDEX(keycodes!$E:$E,MATCH(G13,keycodes!$A:$A,0),0)&lt;&gt;"",INDEX(keycodes!$E:$E,MATCH(G13,keycodes!$A:$A,0),0),INDEX(keycodes!$C:$C,MATCH(G13,keycodes!$A:$A,0),0)),INDEX(keycodes!$C:$C,MATCH(G13,keycodes!$B:$B,0),0)))</f>
        <v>_______</v>
      </c>
      <c r="H39" s="43" t="str">
        <f aca="false">IF(H13="",keycodes!$C$2,IF($B$1="Japanese",IF(INDEX(keycodes!$E:$E,MATCH(H13,keycodes!$A:$A,0),0)&lt;&gt;"",INDEX(keycodes!$E:$E,MATCH(H13,keycodes!$A:$A,0),0),INDEX(keycodes!$C:$C,MATCH(H13,keycodes!$A:$A,0),0)),INDEX(keycodes!$C:$C,MATCH(H13,keycodes!$B:$B,0),0)))</f>
        <v>NONE</v>
      </c>
      <c r="I39" s="43" t="str">
        <f aca="false">IF(I13="",keycodes!$C$2,IF($B$1="Japanese",IF(INDEX(keycodes!$E:$E,MATCH(I13,keycodes!$A:$A,0),0)&lt;&gt;"",INDEX(keycodes!$E:$E,MATCH(I13,keycodes!$A:$A,0),0),INDEX(keycodes!$C:$C,MATCH(I13,keycodes!$A:$A,0),0)),INDEX(keycodes!$C:$C,MATCH(I13,keycodes!$B:$B,0),0)))</f>
        <v>NONE</v>
      </c>
      <c r="J39" s="42" t="str">
        <f aca="false">IF(J13="",keycodes!$C$2,IF($B$1="Japanese",IF(INDEX(keycodes!$E:$E,MATCH(J13,keycodes!$A:$A,0),0)&lt;&gt;"",INDEX(keycodes!$E:$E,MATCH(J13,keycodes!$A:$A,0),0),INDEX(keycodes!$C:$C,MATCH(J13,keycodes!$A:$A,0),0)),INDEX(keycodes!$C:$C,MATCH(J13,keycodes!$B:$B,0),0)))</f>
        <v>_______</v>
      </c>
      <c r="K39" s="42" t="str">
        <f aca="false">IF(K13="",keycodes!$C$2,IF($B$1="Japanese",IF(INDEX(keycodes!$E:$E,MATCH(K13,keycodes!$A:$A,0),0)&lt;&gt;"",INDEX(keycodes!$E:$E,MATCH(K13,keycodes!$A:$A,0),0),INDEX(keycodes!$C:$C,MATCH(K13,keycodes!$A:$A,0),0)),INDEX(keycodes!$C:$C,MATCH(K13,keycodes!$B:$B,0),0)))</f>
        <v>_______</v>
      </c>
      <c r="L39" s="42" t="str">
        <f aca="false">IF(L13="",keycodes!$C$2,IF($B$1="Japanese",IF(INDEX(keycodes!$E:$E,MATCH(L13,keycodes!$A:$A,0),0)&lt;&gt;"",INDEX(keycodes!$E:$E,MATCH(L13,keycodes!$A:$A,0),0),INDEX(keycodes!$C:$C,MATCH(L13,keycodes!$A:$A,0),0)),INDEX(keycodes!$C:$C,MATCH(L13,keycodes!$B:$B,0),0)))</f>
        <v>KC_COMM</v>
      </c>
      <c r="M39" s="42" t="str">
        <f aca="false">IF(M13="",keycodes!$C$2,IF($B$1="Japanese",IF(INDEX(keycodes!$E:$E,MATCH(M13,keycodes!$A:$A,0),0)&lt;&gt;"",INDEX(keycodes!$E:$E,MATCH(M13,keycodes!$A:$A,0),0),INDEX(keycodes!$C:$C,MATCH(M13,keycodes!$A:$A,0),0)),INDEX(keycodes!$C:$C,MATCH(M13,keycodes!$B:$B,0),0)))</f>
        <v>KC_DOT</v>
      </c>
      <c r="N39" s="42" t="str">
        <f aca="false">IF(N13="",keycodes!$C$2,IF($B$1="Japanese",IF(INDEX(keycodes!$E:$E,MATCH(N13,keycodes!$A:$A,0),0)&lt;&gt;"",INDEX(keycodes!$E:$E,MATCH(N13,keycodes!$A:$A,0),0),INDEX(keycodes!$C:$C,MATCH(N13,keycodes!$A:$A,0),0)),INDEX(keycodes!$C:$C,MATCH(N13,keycodes!$B:$B,0),0)))</f>
        <v>KC_SLSH</v>
      </c>
      <c r="O39" s="44" t="str">
        <f aca="false">IF(O13="",keycodes!$C$2,IF($B$1="Japanese",IF(INDEX(keycodes!$E:$E,MATCH(O13,keycodes!$A:$A,0),0)&lt;&gt;"",INDEX(keycodes!$E:$E,MATCH(O13,keycodes!$A:$A,0),0),INDEX(keycodes!$C:$C,MATCH(O13,keycodes!$A:$A,0),0)),INDEX(keycodes!$C:$C,MATCH(O13,keycodes!$B:$B,0),0)))</f>
        <v>KC_INT1</v>
      </c>
    </row>
    <row r="40" customFormat="false" ht="21" hidden="false" customHeight="true" outlineLevel="0" collapsed="false">
      <c r="A40" s="34"/>
      <c r="B40" s="45" t="str">
        <f aca="false">IF(B14="",keycodes!$C$2,IF($B$1="Japanese",IF(INDEX(keycodes!$E:$E,MATCH(B14,keycodes!$A:$A,0),0)&lt;&gt;"",INDEX(keycodes!$E:$E,MATCH(B14,keycodes!$A:$A,0),0),INDEX(keycodes!$C:$C,MATCH(B14,keycodes!$A:$A,0),0)),INDEX(keycodes!$C:$C,MATCH(B14,keycodes!$B:$B,0),0)))</f>
        <v>NONE</v>
      </c>
      <c r="C40" s="45" t="str">
        <f aca="false">IF(C14="",keycodes!$C$2,IF($B$1="Japanese",IF(INDEX(keycodes!$E:$E,MATCH(C14,keycodes!$A:$A,0),0)&lt;&gt;"",INDEX(keycodes!$E:$E,MATCH(C14,keycodes!$A:$A,0),0),INDEX(keycodes!$C:$C,MATCH(C14,keycodes!$A:$A,0),0)),INDEX(keycodes!$C:$C,MATCH(C14,keycodes!$B:$B,0),0)))</f>
        <v>NONE</v>
      </c>
      <c r="D40" s="45" t="str">
        <f aca="false">IF(D14="",keycodes!$C$2,IF($B$1="Japanese",IF(INDEX(keycodes!$E:$E,MATCH(D14,keycodes!$A:$A,0),0)&lt;&gt;"",INDEX(keycodes!$E:$E,MATCH(D14,keycodes!$A:$A,0),0),INDEX(keycodes!$C:$C,MATCH(D14,keycodes!$A:$A,0),0)),INDEX(keycodes!$C:$C,MATCH(D14,keycodes!$B:$B,0),0)))</f>
        <v>NONE</v>
      </c>
      <c r="E40" s="45" t="str">
        <f aca="false">IF(E14="",keycodes!$C$2,IF($B$1="Japanese",IF(INDEX(keycodes!$E:$E,MATCH(E14,keycodes!$A:$A,0),0)&lt;&gt;"",INDEX(keycodes!$E:$E,MATCH(E14,keycodes!$A:$A,0),0),INDEX(keycodes!$C:$C,MATCH(E14,keycodes!$A:$A,0),0)),INDEX(keycodes!$C:$C,MATCH(E14,keycodes!$B:$B,0),0)))</f>
        <v>NONE</v>
      </c>
      <c r="F40" s="46" t="str">
        <f aca="false">IF(F14="",keycodes!$C$2,IF($B$1="Japanese",IF(INDEX(keycodes!$E:$E,MATCH(F14,keycodes!$A:$A,0),0)&lt;&gt;"",INDEX(keycodes!$E:$E,MATCH(F14,keycodes!$A:$A,0),0),INDEX(keycodes!$C:$C,MATCH(F14,keycodes!$A:$A,0),0)),INDEX(keycodes!$C:$C,MATCH(F14,keycodes!$B:$B,0),0)))</f>
        <v>_______</v>
      </c>
      <c r="G40" s="46" t="str">
        <f aca="false">IF(G14="",keycodes!$C$2,IF($B$1="Japanese",IF(INDEX(keycodes!$E:$E,MATCH(G14,keycodes!$A:$A,0),0)&lt;&gt;"",INDEX(keycodes!$E:$E,MATCH(G14,keycodes!$A:$A,0),0),INDEX(keycodes!$C:$C,MATCH(G14,keycodes!$A:$A,0),0)),INDEX(keycodes!$C:$C,MATCH(G14,keycodes!$B:$B,0),0)))</f>
        <v>_______</v>
      </c>
      <c r="H40" s="46" t="str">
        <f aca="false">IF(H14="",keycodes!$C$2,IF($B$1="Japanese",IF(INDEX(keycodes!$E:$E,MATCH(H14,keycodes!$A:$A,0),0)&lt;&gt;"",INDEX(keycodes!$E:$E,MATCH(H14,keycodes!$A:$A,0),0),INDEX(keycodes!$C:$C,MATCH(H14,keycodes!$A:$A,0),0)),INDEX(keycodes!$C:$C,MATCH(H14,keycodes!$B:$B,0),0)))</f>
        <v>_______</v>
      </c>
      <c r="I40" s="46" t="str">
        <f aca="false">IF(I14="",keycodes!$C$2,IF($B$1="Japanese",IF(INDEX(keycodes!$E:$E,MATCH(I14,keycodes!$A:$A,0),0)&lt;&gt;"",INDEX(keycodes!$E:$E,MATCH(I14,keycodes!$A:$A,0),0),INDEX(keycodes!$C:$C,MATCH(I14,keycodes!$A:$A,0),0)),INDEX(keycodes!$C:$C,MATCH(I14,keycodes!$B:$B,0),0)))</f>
        <v>_______</v>
      </c>
      <c r="J40" s="46" t="str">
        <f aca="false">IF(J14="",keycodes!$C$2,IF($B$1="Japanese",IF(INDEX(keycodes!$E:$E,MATCH(J14,keycodes!$A:$A,0),0)&lt;&gt;"",INDEX(keycodes!$E:$E,MATCH(J14,keycodes!$A:$A,0),0),INDEX(keycodes!$C:$C,MATCH(J14,keycodes!$A:$A,0),0)),INDEX(keycodes!$C:$C,MATCH(J14,keycodes!$B:$B,0),0)))</f>
        <v>_______</v>
      </c>
      <c r="K40" s="46" t="str">
        <f aca="false">IF(K14="",keycodes!$C$2,IF($B$1="Japanese",IF(INDEX(keycodes!$E:$E,MATCH(K14,keycodes!$A:$A,0),0)&lt;&gt;"",INDEX(keycodes!$E:$E,MATCH(K14,keycodes!$A:$A,0),0),INDEX(keycodes!$C:$C,MATCH(K14,keycodes!$A:$A,0),0)),INDEX(keycodes!$C:$C,MATCH(K14,keycodes!$B:$B,0),0)))</f>
        <v>_______</v>
      </c>
      <c r="L40" s="45" t="str">
        <f aca="false">IF(L14="",keycodes!$C$2,IF($B$1="Japanese",IF(INDEX(keycodes!$E:$E,MATCH(L14,keycodes!$A:$A,0),0)&lt;&gt;"",INDEX(keycodes!$E:$E,MATCH(L14,keycodes!$A:$A,0),0),INDEX(keycodes!$C:$C,MATCH(L14,keycodes!$A:$A,0),0)),INDEX(keycodes!$C:$C,MATCH(L14,keycodes!$B:$B,0),0)))</f>
        <v>TERM</v>
      </c>
      <c r="M40" s="45" t="str">
        <f aca="false">IF(M14="",keycodes!$C$2,IF($B$1="Japanese",IF(INDEX(keycodes!$E:$E,MATCH(M14,keycodes!$A:$A,0),0)&lt;&gt;"",INDEX(keycodes!$E:$E,MATCH(M14,keycodes!$A:$A,0),0),INDEX(keycodes!$C:$C,MATCH(M14,keycodes!$A:$A,0),0)),INDEX(keycodes!$C:$C,MATCH(M14,keycodes!$B:$B,0),0)))</f>
        <v>TERM</v>
      </c>
      <c r="N40" s="45" t="str">
        <f aca="false">IF(N14="",keycodes!$C$2,IF($B$1="Japanese",IF(INDEX(keycodes!$E:$E,MATCH(N14,keycodes!$A:$A,0),0)&lt;&gt;"",INDEX(keycodes!$E:$E,MATCH(N14,keycodes!$A:$A,0),0),INDEX(keycodes!$C:$C,MATCH(N14,keycodes!$A:$A,0),0)),INDEX(keycodes!$C:$C,MATCH(N14,keycodes!$B:$B,0),0)))</f>
        <v>TERM</v>
      </c>
      <c r="O40" s="47" t="str">
        <f aca="false">IF(O14="",keycodes!$C$2,IF($B$1="Japanese",IF(INDEX(keycodes!$E:$E,MATCH(O14,keycodes!$A:$A,0),0)&lt;&gt;"",INDEX(keycodes!$E:$E,MATCH(O14,keycodes!$A:$A,0),0),INDEX(keycodes!$C:$C,MATCH(O14,keycodes!$A:$A,0),0)),INDEX(keycodes!$C:$C,MATCH(O14,keycodes!$B:$B,0),0)))</f>
        <v>TERM</v>
      </c>
    </row>
    <row r="41" customFormat="false" ht="21" hidden="false" customHeight="true" outlineLevel="0" collapsed="false">
      <c r="A41" s="26" t="s">
        <v>319</v>
      </c>
      <c r="B41" s="39" t="str">
        <f aca="false">IF(B15="",keycodes!$C$2,IF($B$1="Japanese",IF(INDEX(keycodes!$E:$E,MATCH(B15,keycodes!$A:$A,0),0)&lt;&gt;"",INDEX(keycodes!$E:$E,MATCH(B15,keycodes!$A:$A,0),0),INDEX(keycodes!$C:$C,MATCH(B15,keycodes!$A:$A,0),0)),INDEX(keycodes!$C:$C,MATCH(B15,keycodes!$B:$B,0),0)))</f>
        <v>KC_ESC</v>
      </c>
      <c r="C41" s="39" t="str">
        <f aca="false">IF(C15="",keycodes!$C$2,IF($B$1="Japanese",IF(INDEX(keycodes!$E:$E,MATCH(C15,keycodes!$A:$A,0),0)&lt;&gt;"",INDEX(keycodes!$E:$E,MATCH(C15,keycodes!$A:$A,0),0),INDEX(keycodes!$C:$C,MATCH(C15,keycodes!$A:$A,0),0)),INDEX(keycodes!$C:$C,MATCH(C15,keycodes!$B:$B,0),0)))</f>
        <v>KC_Q</v>
      </c>
      <c r="D41" s="39" t="str">
        <f aca="false">IF(D15="",keycodes!$C$2,IF($B$1="Japanese",IF(INDEX(keycodes!$E:$E,MATCH(D15,keycodes!$A:$A,0),0)&lt;&gt;"",INDEX(keycodes!$E:$E,MATCH(D15,keycodes!$A:$A,0),0),INDEX(keycodes!$C:$C,MATCH(D15,keycodes!$A:$A,0),0)),INDEX(keycodes!$C:$C,MATCH(D15,keycodes!$B:$B,0),0)))</f>
        <v>KC_W</v>
      </c>
      <c r="E41" s="39" t="str">
        <f aca="false">IF(E15="",keycodes!$C$2,IF($B$1="Japanese",IF(INDEX(keycodes!$E:$E,MATCH(E15,keycodes!$A:$A,0),0)&lt;&gt;"",INDEX(keycodes!$E:$E,MATCH(E15,keycodes!$A:$A,0),0),INDEX(keycodes!$C:$C,MATCH(E15,keycodes!$A:$A,0),0)),INDEX(keycodes!$C:$C,MATCH(E15,keycodes!$B:$B,0),0)))</f>
        <v>KC_E</v>
      </c>
      <c r="F41" s="39" t="str">
        <f aca="false">IF(F15="",keycodes!$C$2,IF($B$1="Japanese",IF(INDEX(keycodes!$E:$E,MATCH(F15,keycodes!$A:$A,0),0)&lt;&gt;"",INDEX(keycodes!$E:$E,MATCH(F15,keycodes!$A:$A,0),0),INDEX(keycodes!$C:$C,MATCH(F15,keycodes!$A:$A,0),0)),INDEX(keycodes!$C:$C,MATCH(F15,keycodes!$B:$B,0),0)))</f>
        <v>KC_R</v>
      </c>
      <c r="G41" s="39" t="str">
        <f aca="false">IF(G15="",keycodes!$C$2,IF($B$1="Japanese",IF(INDEX(keycodes!$E:$E,MATCH(G15,keycodes!$A:$A,0),0)&lt;&gt;"",INDEX(keycodes!$E:$E,MATCH(G15,keycodes!$A:$A,0),0),INDEX(keycodes!$C:$C,MATCH(G15,keycodes!$A:$A,0),0)),INDEX(keycodes!$C:$C,MATCH(G15,keycodes!$B:$B,0),0)))</f>
        <v>KC_T</v>
      </c>
      <c r="H41" s="40" t="str">
        <f aca="false">IF(H15="",keycodes!$C$2,IF($B$1="Japanese",IF(INDEX(keycodes!$E:$E,MATCH(H15,keycodes!$A:$A,0),0)&lt;&gt;"",INDEX(keycodes!$E:$E,MATCH(H15,keycodes!$A:$A,0),0),INDEX(keycodes!$C:$C,MATCH(H15,keycodes!$A:$A,0),0)),INDEX(keycodes!$C:$C,MATCH(H15,keycodes!$B:$B,0),0)))</f>
        <v>NONE</v>
      </c>
      <c r="I41" s="40" t="str">
        <f aca="false">IF(I15="",keycodes!$C$2,IF($B$1="Japanese",IF(INDEX(keycodes!$E:$E,MATCH(I15,keycodes!$A:$A,0),0)&lt;&gt;"",INDEX(keycodes!$E:$E,MATCH(I15,keycodes!$A:$A,0),0),INDEX(keycodes!$C:$C,MATCH(I15,keycodes!$A:$A,0),0)),INDEX(keycodes!$C:$C,MATCH(I15,keycodes!$B:$B,0),0)))</f>
        <v>NONE</v>
      </c>
      <c r="J41" s="39" t="str">
        <f aca="false">IF(J15="",keycodes!$C$2,IF($B$1="Japanese",IF(INDEX(keycodes!$E:$E,MATCH(J15,keycodes!$A:$A,0),0)&lt;&gt;"",INDEX(keycodes!$E:$E,MATCH(J15,keycodes!$A:$A,0),0),INDEX(keycodes!$C:$C,MATCH(J15,keycodes!$A:$A,0),0)),INDEX(keycodes!$C:$C,MATCH(J15,keycodes!$B:$B,0),0)))</f>
        <v>KC_Y</v>
      </c>
      <c r="K41" s="39" t="str">
        <f aca="false">IF(K15="",keycodes!$C$2,IF($B$1="Japanese",IF(INDEX(keycodes!$E:$E,MATCH(K15,keycodes!$A:$A,0),0)&lt;&gt;"",INDEX(keycodes!$E:$E,MATCH(K15,keycodes!$A:$A,0),0),INDEX(keycodes!$C:$C,MATCH(K15,keycodes!$A:$A,0),0)),INDEX(keycodes!$C:$C,MATCH(K15,keycodes!$B:$B,0),0)))</f>
        <v>KC_U</v>
      </c>
      <c r="L41" s="39" t="str">
        <f aca="false">IF(L15="",keycodes!$C$2,IF($B$1="Japanese",IF(INDEX(keycodes!$E:$E,MATCH(L15,keycodes!$A:$A,0),0)&lt;&gt;"",INDEX(keycodes!$E:$E,MATCH(L15,keycodes!$A:$A,0),0),INDEX(keycodes!$C:$C,MATCH(L15,keycodes!$A:$A,0),0)),INDEX(keycodes!$C:$C,MATCH(L15,keycodes!$B:$B,0),0)))</f>
        <v>KC_I</v>
      </c>
      <c r="M41" s="39" t="str">
        <f aca="false">IF(M15="",keycodes!$C$2,IF($B$1="Japanese",IF(INDEX(keycodes!$E:$E,MATCH(M15,keycodes!$A:$A,0),0)&lt;&gt;"",INDEX(keycodes!$E:$E,MATCH(M15,keycodes!$A:$A,0),0),INDEX(keycodes!$C:$C,MATCH(M15,keycodes!$A:$A,0),0)),INDEX(keycodes!$C:$C,MATCH(M15,keycodes!$B:$B,0),0)))</f>
        <v>KC_O</v>
      </c>
      <c r="N41" s="39" t="str">
        <f aca="false">IF(N15="",keycodes!$C$2,IF($B$1="Japanese",IF(INDEX(keycodes!$E:$E,MATCH(N15,keycodes!$A:$A,0),0)&lt;&gt;"",INDEX(keycodes!$E:$E,MATCH(N15,keycodes!$A:$A,0),0),INDEX(keycodes!$C:$C,MATCH(N15,keycodes!$A:$A,0),0)),INDEX(keycodes!$C:$C,MATCH(N15,keycodes!$B:$B,0),0)))</f>
        <v>KC_P</v>
      </c>
      <c r="O41" s="41" t="str">
        <f aca="false">IF(O15="",keycodes!$C$2,IF($B$1="Japanese",IF(INDEX(keycodes!$E:$E,MATCH(O15,keycodes!$A:$A,0),0)&lt;&gt;"",INDEX(keycodes!$E:$E,MATCH(O15,keycodes!$A:$A,0),0),INDEX(keycodes!$C:$C,MATCH(O15,keycodes!$A:$A,0),0)),INDEX(keycodes!$C:$C,MATCH(O15,keycodes!$B:$B,0),0)))</f>
        <v>KC_LBRC</v>
      </c>
    </row>
    <row r="42" customFormat="false" ht="21" hidden="false" customHeight="true" outlineLevel="0" collapsed="false">
      <c r="A42" s="30"/>
      <c r="B42" s="42" t="str">
        <f aca="false">IF(B16="",keycodes!$C$2,IF($B$1="Japanese",IF(INDEX(keycodes!$E:$E,MATCH(B16,keycodes!$A:$A,0),0)&lt;&gt;"",INDEX(keycodes!$E:$E,MATCH(B16,keycodes!$A:$A,0),0),INDEX(keycodes!$C:$C,MATCH(B16,keycodes!$A:$A,0),0)),INDEX(keycodes!$C:$C,MATCH(B16,keycodes!$B:$B,0),0)))</f>
        <v>KC_TAB</v>
      </c>
      <c r="C42" s="42" t="str">
        <f aca="false">IF(C16="",keycodes!$C$2,IF($B$1="Japanese",IF(INDEX(keycodes!$E:$E,MATCH(C16,keycodes!$A:$A,0),0)&lt;&gt;"",INDEX(keycodes!$E:$E,MATCH(C16,keycodes!$A:$A,0),0),INDEX(keycodes!$C:$C,MATCH(C16,keycodes!$A:$A,0),0)),INDEX(keycodes!$C:$C,MATCH(C16,keycodes!$B:$B,0),0)))</f>
        <v>KC_A</v>
      </c>
      <c r="D42" s="42" t="str">
        <f aca="false">IF(D16="",keycodes!$C$2,IF($B$1="Japanese",IF(INDEX(keycodes!$E:$E,MATCH(D16,keycodes!$A:$A,0),0)&lt;&gt;"",INDEX(keycodes!$E:$E,MATCH(D16,keycodes!$A:$A,0),0),INDEX(keycodes!$C:$C,MATCH(D16,keycodes!$A:$A,0),0)),INDEX(keycodes!$C:$C,MATCH(D16,keycodes!$B:$B,0),0)))</f>
        <v>KC_S</v>
      </c>
      <c r="E42" s="42" t="str">
        <f aca="false">IF(E16="",keycodes!$C$2,IF($B$1="Japanese",IF(INDEX(keycodes!$E:$E,MATCH(E16,keycodes!$A:$A,0),0)&lt;&gt;"",INDEX(keycodes!$E:$E,MATCH(E16,keycodes!$A:$A,0),0),INDEX(keycodes!$C:$C,MATCH(E16,keycodes!$A:$A,0),0)),INDEX(keycodes!$C:$C,MATCH(E16,keycodes!$B:$B,0),0)))</f>
        <v>KC_D</v>
      </c>
      <c r="F42" s="42" t="str">
        <f aca="false">IF(F16="",keycodes!$C$2,IF($B$1="Japanese",IF(INDEX(keycodes!$E:$E,MATCH(F16,keycodes!$A:$A,0),0)&lt;&gt;"",INDEX(keycodes!$E:$E,MATCH(F16,keycodes!$A:$A,0),0),INDEX(keycodes!$C:$C,MATCH(F16,keycodes!$A:$A,0),0)),INDEX(keycodes!$C:$C,MATCH(F16,keycodes!$B:$B,0),0)))</f>
        <v>KC_F</v>
      </c>
      <c r="G42" s="42" t="str">
        <f aca="false">IF(G16="",keycodes!$C$2,IF($B$1="Japanese",IF(INDEX(keycodes!$E:$E,MATCH(G16,keycodes!$A:$A,0),0)&lt;&gt;"",INDEX(keycodes!$E:$E,MATCH(G16,keycodes!$A:$A,0),0),INDEX(keycodes!$C:$C,MATCH(G16,keycodes!$A:$A,0),0)),INDEX(keycodes!$C:$C,MATCH(G16,keycodes!$B:$B,0),0)))</f>
        <v>KC_G</v>
      </c>
      <c r="H42" s="43" t="str">
        <f aca="false">IF(H16="",keycodes!$C$2,IF($B$1="Japanese",IF(INDEX(keycodes!$E:$E,MATCH(H16,keycodes!$A:$A,0),0)&lt;&gt;"",INDEX(keycodes!$E:$E,MATCH(H16,keycodes!$A:$A,0),0),INDEX(keycodes!$C:$C,MATCH(H16,keycodes!$A:$A,0),0)),INDEX(keycodes!$C:$C,MATCH(H16,keycodes!$B:$B,0),0)))</f>
        <v>NONE</v>
      </c>
      <c r="I42" s="43" t="str">
        <f aca="false">IF(I16="",keycodes!$C$2,IF($B$1="Japanese",IF(INDEX(keycodes!$E:$E,MATCH(I16,keycodes!$A:$A,0),0)&lt;&gt;"",INDEX(keycodes!$E:$E,MATCH(I16,keycodes!$A:$A,0),0),INDEX(keycodes!$C:$C,MATCH(I16,keycodes!$A:$A,0),0)),INDEX(keycodes!$C:$C,MATCH(I16,keycodes!$B:$B,0),0)))</f>
        <v>NONE</v>
      </c>
      <c r="J42" s="42" t="str">
        <f aca="false">IF(J16="",keycodes!$C$2,IF($B$1="Japanese",IF(INDEX(keycodes!$E:$E,MATCH(J16,keycodes!$A:$A,0),0)&lt;&gt;"",INDEX(keycodes!$E:$E,MATCH(J16,keycodes!$A:$A,0),0),INDEX(keycodes!$C:$C,MATCH(J16,keycodes!$A:$A,0),0)),INDEX(keycodes!$C:$C,MATCH(J16,keycodes!$B:$B,0),0)))</f>
        <v>KC_H</v>
      </c>
      <c r="K42" s="42" t="str">
        <f aca="false">IF(K16="",keycodes!$C$2,IF($B$1="Japanese",IF(INDEX(keycodes!$E:$E,MATCH(K16,keycodes!$A:$A,0),0)&lt;&gt;"",INDEX(keycodes!$E:$E,MATCH(K16,keycodes!$A:$A,0),0),INDEX(keycodes!$C:$C,MATCH(K16,keycodes!$A:$A,0),0)),INDEX(keycodes!$C:$C,MATCH(K16,keycodes!$B:$B,0),0)))</f>
        <v>KC_J</v>
      </c>
      <c r="L42" s="42" t="str">
        <f aca="false">IF(L16="",keycodes!$C$2,IF($B$1="Japanese",IF(INDEX(keycodes!$E:$E,MATCH(L16,keycodes!$A:$A,0),0)&lt;&gt;"",INDEX(keycodes!$E:$E,MATCH(L16,keycodes!$A:$A,0),0),INDEX(keycodes!$C:$C,MATCH(L16,keycodes!$A:$A,0),0)),INDEX(keycodes!$C:$C,MATCH(L16,keycodes!$B:$B,0),0)))</f>
        <v>KC_K</v>
      </c>
      <c r="M42" s="42" t="str">
        <f aca="false">IF(M16="",keycodes!$C$2,IF($B$1="Japanese",IF(INDEX(keycodes!$E:$E,MATCH(M16,keycodes!$A:$A,0),0)&lt;&gt;"",INDEX(keycodes!$E:$E,MATCH(M16,keycodes!$A:$A,0),0),INDEX(keycodes!$C:$C,MATCH(M16,keycodes!$A:$A,0),0)),INDEX(keycodes!$C:$C,MATCH(M16,keycodes!$B:$B,0),0)))</f>
        <v>KC_L</v>
      </c>
      <c r="N42" s="42" t="str">
        <f aca="false">IF(N16="",keycodes!$C$2,IF($B$1="Japanese",IF(INDEX(keycodes!$E:$E,MATCH(N16,keycodes!$A:$A,0),0)&lt;&gt;"",INDEX(keycodes!$E:$E,MATCH(N16,keycodes!$A:$A,0),0),INDEX(keycodes!$C:$C,MATCH(N16,keycodes!$A:$A,0),0)),INDEX(keycodes!$C:$C,MATCH(N16,keycodes!$B:$B,0),0)))</f>
        <v>KC_SCLN</v>
      </c>
      <c r="O42" s="44" t="str">
        <f aca="false">IF(O16="",keycodes!$C$2,IF($B$1="Japanese",IF(INDEX(keycodes!$E:$E,MATCH(O16,keycodes!$A:$A,0),0)&lt;&gt;"",INDEX(keycodes!$E:$E,MATCH(O16,keycodes!$A:$A,0),0),INDEX(keycodes!$C:$C,MATCH(O16,keycodes!$A:$A,0),0)),INDEX(keycodes!$C:$C,MATCH(O16,keycodes!$B:$B,0),0)))</f>
        <v>KC_QUOT</v>
      </c>
    </row>
    <row r="43" customFormat="false" ht="21" hidden="false" customHeight="true" outlineLevel="0" collapsed="false">
      <c r="A43" s="30"/>
      <c r="B43" s="42" t="str">
        <f aca="false">IF(B17="",keycodes!$C$2,IF($B$1="Japanese",IF(INDEX(keycodes!$E:$E,MATCH(B17,keycodes!$A:$A,0),0)&lt;&gt;"",INDEX(keycodes!$E:$E,MATCH(B17,keycodes!$A:$A,0),0),INDEX(keycodes!$C:$C,MATCH(B17,keycodes!$A:$A,0),0)),INDEX(keycodes!$C:$C,MATCH(B17,keycodes!$B:$B,0),0)))</f>
        <v>_______</v>
      </c>
      <c r="C43" s="42" t="str">
        <f aca="false">IF(C17="",keycodes!$C$2,IF($B$1="Japanese",IF(INDEX(keycodes!$E:$E,MATCH(C17,keycodes!$A:$A,0),0)&lt;&gt;"",INDEX(keycodes!$E:$E,MATCH(C17,keycodes!$A:$A,0),0),INDEX(keycodes!$C:$C,MATCH(C17,keycodes!$A:$A,0),0)),INDEX(keycodes!$C:$C,MATCH(C17,keycodes!$B:$B,0),0)))</f>
        <v>KC_Z</v>
      </c>
      <c r="D43" s="42" t="str">
        <f aca="false">IF(D17="",keycodes!$C$2,IF($B$1="Japanese",IF(INDEX(keycodes!$E:$E,MATCH(D17,keycodes!$A:$A,0),0)&lt;&gt;"",INDEX(keycodes!$E:$E,MATCH(D17,keycodes!$A:$A,0),0),INDEX(keycodes!$C:$C,MATCH(D17,keycodes!$A:$A,0),0)),INDEX(keycodes!$C:$C,MATCH(D17,keycodes!$B:$B,0),0)))</f>
        <v>KC_X</v>
      </c>
      <c r="E43" s="42" t="str">
        <f aca="false">IF(E17="",keycodes!$C$2,IF($B$1="Japanese",IF(INDEX(keycodes!$E:$E,MATCH(E17,keycodes!$A:$A,0),0)&lt;&gt;"",INDEX(keycodes!$E:$E,MATCH(E17,keycodes!$A:$A,0),0),INDEX(keycodes!$C:$C,MATCH(E17,keycodes!$A:$A,0),0)),INDEX(keycodes!$C:$C,MATCH(E17,keycodes!$B:$B,0),0)))</f>
        <v>KC_C</v>
      </c>
      <c r="F43" s="42" t="str">
        <f aca="false">IF(F17="",keycodes!$C$2,IF($B$1="Japanese",IF(INDEX(keycodes!$E:$E,MATCH(F17,keycodes!$A:$A,0),0)&lt;&gt;"",INDEX(keycodes!$E:$E,MATCH(F17,keycodes!$A:$A,0),0),INDEX(keycodes!$C:$C,MATCH(F17,keycodes!$A:$A,0),0)),INDEX(keycodes!$C:$C,MATCH(F17,keycodes!$B:$B,0),0)))</f>
        <v>KC_V</v>
      </c>
      <c r="G43" s="42" t="str">
        <f aca="false">IF(G17="",keycodes!$C$2,IF($B$1="Japanese",IF(INDEX(keycodes!$E:$E,MATCH(G17,keycodes!$A:$A,0),0)&lt;&gt;"",INDEX(keycodes!$E:$E,MATCH(G17,keycodes!$A:$A,0),0),INDEX(keycodes!$C:$C,MATCH(G17,keycodes!$A:$A,0),0)),INDEX(keycodes!$C:$C,MATCH(G17,keycodes!$B:$B,0),0)))</f>
        <v>KC_B</v>
      </c>
      <c r="H43" s="43" t="str">
        <f aca="false">IF(H17="",keycodes!$C$2,IF($B$1="Japanese",IF(INDEX(keycodes!$E:$E,MATCH(H17,keycodes!$A:$A,0),0)&lt;&gt;"",INDEX(keycodes!$E:$E,MATCH(H17,keycodes!$A:$A,0),0),INDEX(keycodes!$C:$C,MATCH(H17,keycodes!$A:$A,0),0)),INDEX(keycodes!$C:$C,MATCH(H17,keycodes!$B:$B,0),0)))</f>
        <v>NONE</v>
      </c>
      <c r="I43" s="43" t="str">
        <f aca="false">IF(I17="",keycodes!$C$2,IF($B$1="Japanese",IF(INDEX(keycodes!$E:$E,MATCH(I17,keycodes!$A:$A,0),0)&lt;&gt;"",INDEX(keycodes!$E:$E,MATCH(I17,keycodes!$A:$A,0),0),INDEX(keycodes!$C:$C,MATCH(I17,keycodes!$A:$A,0),0)),INDEX(keycodes!$C:$C,MATCH(I17,keycodes!$B:$B,0),0)))</f>
        <v>NONE</v>
      </c>
      <c r="J43" s="42" t="str">
        <f aca="false">IF(J17="",keycodes!$C$2,IF($B$1="Japanese",IF(INDEX(keycodes!$E:$E,MATCH(J17,keycodes!$A:$A,0),0)&lt;&gt;"",INDEX(keycodes!$E:$E,MATCH(J17,keycodes!$A:$A,0),0),INDEX(keycodes!$C:$C,MATCH(J17,keycodes!$A:$A,0),0)),INDEX(keycodes!$C:$C,MATCH(J17,keycodes!$B:$B,0),0)))</f>
        <v>KC_N</v>
      </c>
      <c r="K43" s="42" t="str">
        <f aca="false">IF(K17="",keycodes!$C$2,IF($B$1="Japanese",IF(INDEX(keycodes!$E:$E,MATCH(K17,keycodes!$A:$A,0),0)&lt;&gt;"",INDEX(keycodes!$E:$E,MATCH(K17,keycodes!$A:$A,0),0),INDEX(keycodes!$C:$C,MATCH(K17,keycodes!$A:$A,0),0)),INDEX(keycodes!$C:$C,MATCH(K17,keycodes!$B:$B,0),0)))</f>
        <v>KC_M</v>
      </c>
      <c r="L43" s="42" t="str">
        <f aca="false">IF(L17="",keycodes!$C$2,IF($B$1="Japanese",IF(INDEX(keycodes!$E:$E,MATCH(L17,keycodes!$A:$A,0),0)&lt;&gt;"",INDEX(keycodes!$E:$E,MATCH(L17,keycodes!$A:$A,0),0),INDEX(keycodes!$C:$C,MATCH(L17,keycodes!$A:$A,0),0)),INDEX(keycodes!$C:$C,MATCH(L17,keycodes!$B:$B,0),0)))</f>
        <v>_______</v>
      </c>
      <c r="M43" s="42" t="str">
        <f aca="false">IF(M17="",keycodes!$C$2,IF($B$1="Japanese",IF(INDEX(keycodes!$E:$E,MATCH(M17,keycodes!$A:$A,0),0)&lt;&gt;"",INDEX(keycodes!$E:$E,MATCH(M17,keycodes!$A:$A,0),0),INDEX(keycodes!$C:$C,MATCH(M17,keycodes!$A:$A,0),0)),INDEX(keycodes!$C:$C,MATCH(M17,keycodes!$B:$B,0),0)))</f>
        <v>_______</v>
      </c>
      <c r="N43" s="42" t="str">
        <f aca="false">IF(N17="",keycodes!$C$2,IF($B$1="Japanese",IF(INDEX(keycodes!$E:$E,MATCH(N17,keycodes!$A:$A,0),0)&lt;&gt;"",INDEX(keycodes!$E:$E,MATCH(N17,keycodes!$A:$A,0),0),INDEX(keycodes!$C:$C,MATCH(N17,keycodes!$A:$A,0),0)),INDEX(keycodes!$C:$C,MATCH(N17,keycodes!$B:$B,0),0)))</f>
        <v>_______</v>
      </c>
      <c r="O43" s="44" t="str">
        <f aca="false">IF(O17="",keycodes!$C$2,IF($B$1="Japanese",IF(INDEX(keycodes!$E:$E,MATCH(O17,keycodes!$A:$A,0),0)&lt;&gt;"",INDEX(keycodes!$E:$E,MATCH(O17,keycodes!$A:$A,0),0),INDEX(keycodes!$C:$C,MATCH(O17,keycodes!$A:$A,0),0)),INDEX(keycodes!$C:$C,MATCH(O17,keycodes!$B:$B,0),0)))</f>
        <v>_______</v>
      </c>
    </row>
    <row r="44" customFormat="false" ht="21" hidden="false" customHeight="true" outlineLevel="0" collapsed="false">
      <c r="A44" s="34"/>
      <c r="B44" s="45" t="str">
        <f aca="false">IF(B18="",keycodes!$C$2,IF($B$1="Japanese",IF(INDEX(keycodes!$E:$E,MATCH(B18,keycodes!$A:$A,0),0)&lt;&gt;"",INDEX(keycodes!$E:$E,MATCH(B18,keycodes!$A:$A,0),0),INDEX(keycodes!$C:$C,MATCH(B18,keycodes!$A:$A,0),0)),INDEX(keycodes!$C:$C,MATCH(B18,keycodes!$B:$B,0),0)))</f>
        <v>NONE</v>
      </c>
      <c r="C44" s="45" t="str">
        <f aca="false">IF(C18="",keycodes!$C$2,IF($B$1="Japanese",IF(INDEX(keycodes!$E:$E,MATCH(C18,keycodes!$A:$A,0),0)&lt;&gt;"",INDEX(keycodes!$E:$E,MATCH(C18,keycodes!$A:$A,0),0),INDEX(keycodes!$C:$C,MATCH(C18,keycodes!$A:$A,0),0)),INDEX(keycodes!$C:$C,MATCH(C18,keycodes!$B:$B,0),0)))</f>
        <v>NONE</v>
      </c>
      <c r="D44" s="45" t="str">
        <f aca="false">IF(D18="",keycodes!$C$2,IF($B$1="Japanese",IF(INDEX(keycodes!$E:$E,MATCH(D18,keycodes!$A:$A,0),0)&lt;&gt;"",INDEX(keycodes!$E:$E,MATCH(D18,keycodes!$A:$A,0),0),INDEX(keycodes!$C:$C,MATCH(D18,keycodes!$A:$A,0),0)),INDEX(keycodes!$C:$C,MATCH(D18,keycodes!$B:$B,0),0)))</f>
        <v>NONE</v>
      </c>
      <c r="E44" s="45" t="str">
        <f aca="false">IF(E18="",keycodes!$C$2,IF($B$1="Japanese",IF(INDEX(keycodes!$E:$E,MATCH(E18,keycodes!$A:$A,0),0)&lt;&gt;"",INDEX(keycodes!$E:$E,MATCH(E18,keycodes!$A:$A,0),0),INDEX(keycodes!$C:$C,MATCH(E18,keycodes!$A:$A,0),0)),INDEX(keycodes!$C:$C,MATCH(E18,keycodes!$B:$B,0),0)))</f>
        <v>NONE</v>
      </c>
      <c r="F44" s="46" t="str">
        <f aca="false">IF(F18="",keycodes!$C$2,IF($B$1="Japanese",IF(INDEX(keycodes!$E:$E,MATCH(F18,keycodes!$A:$A,0),0)&lt;&gt;"",INDEX(keycodes!$E:$E,MATCH(F18,keycodes!$A:$A,0),0),INDEX(keycodes!$C:$C,MATCH(F18,keycodes!$A:$A,0),0)),INDEX(keycodes!$C:$C,MATCH(F18,keycodes!$B:$B,0),0)))</f>
        <v>TG_R</v>
      </c>
      <c r="G44" s="46" t="str">
        <f aca="false">IF(G18="",keycodes!$C$2,IF($B$1="Japanese",IF(INDEX(keycodes!$E:$E,MATCH(G18,keycodes!$A:$A,0),0)&lt;&gt;"",INDEX(keycodes!$E:$E,MATCH(G18,keycodes!$A:$A,0),0),INDEX(keycodes!$C:$C,MATCH(G18,keycodes!$A:$A,0),0)),INDEX(keycodes!$C:$C,MATCH(G18,keycodes!$B:$B,0),0)))</f>
        <v>KC_SPC</v>
      </c>
      <c r="H44" s="46" t="str">
        <f aca="false">IF(H18="",keycodes!$C$2,IF($B$1="Japanese",IF(INDEX(keycodes!$E:$E,MATCH(H18,keycodes!$A:$A,0),0)&lt;&gt;"",INDEX(keycodes!$E:$E,MATCH(H18,keycodes!$A:$A,0),0),INDEX(keycodes!$C:$C,MATCH(H18,keycodes!$A:$A,0),0)),INDEX(keycodes!$C:$C,MATCH(H18,keycodes!$B:$B,0),0)))</f>
        <v>MO_RA</v>
      </c>
      <c r="I44" s="46" t="str">
        <f aca="false">IF(I18="",keycodes!$C$2,IF($B$1="Japanese",IF(INDEX(keycodes!$E:$E,MATCH(I18,keycodes!$A:$A,0),0)&lt;&gt;"",INDEX(keycodes!$E:$E,MATCH(I18,keycodes!$A:$A,0),0),INDEX(keycodes!$C:$C,MATCH(I18,keycodes!$A:$A,0),0)),INDEX(keycodes!$C:$C,MATCH(I18,keycodes!$B:$B,0),0)))</f>
        <v>MO_LA</v>
      </c>
      <c r="J44" s="46" t="str">
        <f aca="false">IF(J18="",keycodes!$C$2,IF($B$1="Japanese",IF(INDEX(keycodes!$E:$E,MATCH(J18,keycodes!$A:$A,0),0)&lt;&gt;"",INDEX(keycodes!$E:$E,MATCH(J18,keycodes!$A:$A,0),0),INDEX(keycodes!$C:$C,MATCH(J18,keycodes!$A:$A,0),0)),INDEX(keycodes!$C:$C,MATCH(J18,keycodes!$B:$B,0),0)))</f>
        <v>KC_ENT</v>
      </c>
      <c r="K44" s="46" t="str">
        <f aca="false">IF(K18="",keycodes!$C$2,IF($B$1="Japanese",IF(INDEX(keycodes!$E:$E,MATCH(K18,keycodes!$A:$A,0),0)&lt;&gt;"",INDEX(keycodes!$E:$E,MATCH(K18,keycodes!$A:$A,0),0),INDEX(keycodes!$C:$C,MATCH(K18,keycodes!$A:$A,0),0)),INDEX(keycodes!$C:$C,MATCH(K18,keycodes!$B:$B,0),0)))</f>
        <v>TG_L</v>
      </c>
      <c r="L44" s="45" t="str">
        <f aca="false">IF(L18="",keycodes!$C$2,IF($B$1="Japanese",IF(INDEX(keycodes!$E:$E,MATCH(L18,keycodes!$A:$A,0),0)&lt;&gt;"",INDEX(keycodes!$E:$E,MATCH(L18,keycodes!$A:$A,0),0),INDEX(keycodes!$C:$C,MATCH(L18,keycodes!$A:$A,0),0)),INDEX(keycodes!$C:$C,MATCH(L18,keycodes!$B:$B,0),0)))</f>
        <v>TERM</v>
      </c>
      <c r="M44" s="45" t="str">
        <f aca="false">IF(M18="",keycodes!$C$2,IF($B$1="Japanese",IF(INDEX(keycodes!$E:$E,MATCH(M18,keycodes!$A:$A,0),0)&lt;&gt;"",INDEX(keycodes!$E:$E,MATCH(M18,keycodes!$A:$A,0),0),INDEX(keycodes!$C:$C,MATCH(M18,keycodes!$A:$A,0),0)),INDEX(keycodes!$C:$C,MATCH(M18,keycodes!$B:$B,0),0)))</f>
        <v>TERM</v>
      </c>
      <c r="N44" s="45" t="str">
        <f aca="false">IF(N18="",keycodes!$C$2,IF($B$1="Japanese",IF(INDEX(keycodes!$E:$E,MATCH(N18,keycodes!$A:$A,0),0)&lt;&gt;"",INDEX(keycodes!$E:$E,MATCH(N18,keycodes!$A:$A,0),0),INDEX(keycodes!$C:$C,MATCH(N18,keycodes!$A:$A,0),0)),INDEX(keycodes!$C:$C,MATCH(N18,keycodes!$B:$B,0),0)))</f>
        <v>TERM</v>
      </c>
      <c r="O44" s="47" t="str">
        <f aca="false">IF(O18="",keycodes!$C$2,IF($B$1="Japanese",IF(INDEX(keycodes!$E:$E,MATCH(O18,keycodes!$A:$A,0),0)&lt;&gt;"",INDEX(keycodes!$E:$E,MATCH(O18,keycodes!$A:$A,0),0),INDEX(keycodes!$C:$C,MATCH(O18,keycodes!$A:$A,0),0)),INDEX(keycodes!$C:$C,MATCH(O18,keycodes!$B:$B,0),0)))</f>
        <v>TERM</v>
      </c>
    </row>
    <row r="45" customFormat="false" ht="21" hidden="false" customHeight="true" outlineLevel="0" collapsed="false">
      <c r="A45" s="26" t="s">
        <v>320</v>
      </c>
      <c r="B45" s="39" t="str">
        <f aca="false">IF(B19="",keycodes!$C$2,IF($B$1="Japanese",IF(INDEX(keycodes!$E:$E,MATCH(B19,keycodes!$A:$A,0),0)&lt;&gt;"",INDEX(keycodes!$E:$E,MATCH(B19,keycodes!$A:$A,0),0),INDEX(keycodes!$C:$C,MATCH(B19,keycodes!$A:$A,0),0)),INDEX(keycodes!$C:$C,MATCH(B19,keycodes!$B:$B,0),0)))</f>
        <v>XXXXXXX</v>
      </c>
      <c r="C45" s="39" t="str">
        <f aca="false">IF(C19="",keycodes!$C$2,IF($B$1="Japanese",IF(INDEX(keycodes!$E:$E,MATCH(C19,keycodes!$A:$A,0),0)&lt;&gt;"",INDEX(keycodes!$E:$E,MATCH(C19,keycodes!$A:$A,0),0),INDEX(keycodes!$C:$C,MATCH(C19,keycodes!$A:$A,0),0)),INDEX(keycodes!$C:$C,MATCH(C19,keycodes!$B:$B,0),0)))</f>
        <v>S(KC_1)</v>
      </c>
      <c r="D45" s="39" t="str">
        <f aca="false">IF(D19="",keycodes!$C$2,IF($B$1="Japanese",IF(INDEX(keycodes!$E:$E,MATCH(D19,keycodes!$A:$A,0),0)&lt;&gt;"",INDEX(keycodes!$E:$E,MATCH(D19,keycodes!$A:$A,0),0),INDEX(keycodes!$C:$C,MATCH(D19,keycodes!$A:$A,0),0)),INDEX(keycodes!$C:$C,MATCH(D19,keycodes!$B:$B,0),0)))</f>
        <v>S(KC_2)</v>
      </c>
      <c r="E45" s="39" t="str">
        <f aca="false">IF(E19="",keycodes!$C$2,IF($B$1="Japanese",IF(INDEX(keycodes!$E:$E,MATCH(E19,keycodes!$A:$A,0),0)&lt;&gt;"",INDEX(keycodes!$E:$E,MATCH(E19,keycodes!$A:$A,0),0),INDEX(keycodes!$C:$C,MATCH(E19,keycodes!$A:$A,0),0)),INDEX(keycodes!$C:$C,MATCH(E19,keycodes!$B:$B,0),0)))</f>
        <v>S(KC_3)</v>
      </c>
      <c r="F45" s="39" t="str">
        <f aca="false">IF(F19="",keycodes!$C$2,IF($B$1="Japanese",IF(INDEX(keycodes!$E:$E,MATCH(F19,keycodes!$A:$A,0),0)&lt;&gt;"",INDEX(keycodes!$E:$E,MATCH(F19,keycodes!$A:$A,0),0),INDEX(keycodes!$C:$C,MATCH(F19,keycodes!$A:$A,0),0)),INDEX(keycodes!$C:$C,MATCH(F19,keycodes!$B:$B,0),0)))</f>
        <v>S(KC_4)</v>
      </c>
      <c r="G45" s="39" t="str">
        <f aca="false">IF(G19="",keycodes!$C$2,IF($B$1="Japanese",IF(INDEX(keycodes!$E:$E,MATCH(G19,keycodes!$A:$A,0),0)&lt;&gt;"",INDEX(keycodes!$E:$E,MATCH(G19,keycodes!$A:$A,0),0),INDEX(keycodes!$C:$C,MATCH(G19,keycodes!$A:$A,0),0)),INDEX(keycodes!$C:$C,MATCH(G19,keycodes!$B:$B,0),0)))</f>
        <v>S(KC_5)</v>
      </c>
      <c r="H45" s="40" t="str">
        <f aca="false">IF(H19="",keycodes!$C$2,IF($B$1="Japanese",IF(INDEX(keycodes!$E:$E,MATCH(H19,keycodes!$A:$A,0),0)&lt;&gt;"",INDEX(keycodes!$E:$E,MATCH(H19,keycodes!$A:$A,0),0),INDEX(keycodes!$C:$C,MATCH(H19,keycodes!$A:$A,0),0)),INDEX(keycodes!$C:$C,MATCH(H19,keycodes!$B:$B,0),0)))</f>
        <v>NONE</v>
      </c>
      <c r="I45" s="40" t="str">
        <f aca="false">IF(I19="",keycodes!$C$2,IF($B$1="Japanese",IF(INDEX(keycodes!$E:$E,MATCH(I19,keycodes!$A:$A,0),0)&lt;&gt;"",INDEX(keycodes!$E:$E,MATCH(I19,keycodes!$A:$A,0),0),INDEX(keycodes!$C:$C,MATCH(I19,keycodes!$A:$A,0),0)),INDEX(keycodes!$C:$C,MATCH(I19,keycodes!$B:$B,0),0)))</f>
        <v>NONE</v>
      </c>
      <c r="J45" s="39" t="str">
        <f aca="false">IF(J19="",keycodes!$C$2,IF($B$1="Japanese",IF(INDEX(keycodes!$E:$E,MATCH(J19,keycodes!$A:$A,0),0)&lt;&gt;"",INDEX(keycodes!$E:$E,MATCH(J19,keycodes!$A:$A,0),0),INDEX(keycodes!$C:$C,MATCH(J19,keycodes!$A:$A,0),0)),INDEX(keycodes!$C:$C,MATCH(J19,keycodes!$B:$B,0),0)))</f>
        <v>S(KC_6)</v>
      </c>
      <c r="K45" s="39" t="str">
        <f aca="false">IF(K19="",keycodes!$C$2,IF($B$1="Japanese",IF(INDEX(keycodes!$E:$E,MATCH(K19,keycodes!$A:$A,0),0)&lt;&gt;"",INDEX(keycodes!$E:$E,MATCH(K19,keycodes!$A:$A,0),0),INDEX(keycodes!$C:$C,MATCH(K19,keycodes!$A:$A,0),0)),INDEX(keycodes!$C:$C,MATCH(K19,keycodes!$B:$B,0),0)))</f>
        <v>S(KC_7)</v>
      </c>
      <c r="L45" s="39" t="str">
        <f aca="false">IF(L19="",keycodes!$C$2,IF($B$1="Japanese",IF(INDEX(keycodes!$E:$E,MATCH(L19,keycodes!$A:$A,0),0)&lt;&gt;"",INDEX(keycodes!$E:$E,MATCH(L19,keycodes!$A:$A,0),0),INDEX(keycodes!$C:$C,MATCH(L19,keycodes!$A:$A,0),0)),INDEX(keycodes!$C:$C,MATCH(L19,keycodes!$B:$B,0),0)))</f>
        <v>S(KC_8)</v>
      </c>
      <c r="M45" s="39" t="str">
        <f aca="false">IF(M19="",keycodes!$C$2,IF($B$1="Japanese",IF(INDEX(keycodes!$E:$E,MATCH(M19,keycodes!$A:$A,0),0)&lt;&gt;"",INDEX(keycodes!$E:$E,MATCH(M19,keycodes!$A:$A,0),0),INDEX(keycodes!$C:$C,MATCH(M19,keycodes!$A:$A,0),0)),INDEX(keycodes!$C:$C,MATCH(M19,keycodes!$B:$B,0),0)))</f>
        <v>S(KC_9)</v>
      </c>
      <c r="N45" s="39" t="str">
        <f aca="false">IF(N19="",keycodes!$C$2,IF($B$1="Japanese",IF(INDEX(keycodes!$E:$E,MATCH(N19,keycodes!$A:$A,0),0)&lt;&gt;"",INDEX(keycodes!$E:$E,MATCH(N19,keycodes!$A:$A,0),0),INDEX(keycodes!$C:$C,MATCH(N19,keycodes!$A:$A,0),0)),INDEX(keycodes!$C:$C,MATCH(N19,keycodes!$B:$B,0),0)))</f>
        <v>XXXXXXX</v>
      </c>
      <c r="O45" s="41" t="str">
        <f aca="false">IF(O19="",keycodes!$C$2,IF($B$1="Japanese",IF(INDEX(keycodes!$E:$E,MATCH(O19,keycodes!$A:$A,0),0)&lt;&gt;"",INDEX(keycodes!$E:$E,MATCH(O19,keycodes!$A:$A,0),0),INDEX(keycodes!$C:$C,MATCH(O19,keycodes!$A:$A,0),0)),INDEX(keycodes!$C:$C,MATCH(O19,keycodes!$B:$B,0),0)))</f>
        <v>S(KC_LBRC)</v>
      </c>
    </row>
    <row r="46" customFormat="false" ht="21" hidden="false" customHeight="true" outlineLevel="0" collapsed="false">
      <c r="A46" s="30"/>
      <c r="B46" s="42" t="str">
        <f aca="false">IF(B20="",keycodes!$C$2,IF($B$1="Japanese",IF(INDEX(keycodes!$E:$E,MATCH(B20,keycodes!$A:$A,0),0)&lt;&gt;"",INDEX(keycodes!$E:$E,MATCH(B20,keycodes!$A:$A,0),0),INDEX(keycodes!$C:$C,MATCH(B20,keycodes!$A:$A,0),0)),INDEX(keycodes!$C:$C,MATCH(B20,keycodes!$B:$B,0),0)))</f>
        <v>XXXXXXX</v>
      </c>
      <c r="C46" s="42" t="str">
        <f aca="false">IF(C20="",keycodes!$C$2,IF($B$1="Japanese",IF(INDEX(keycodes!$E:$E,MATCH(C20,keycodes!$A:$A,0),0)&lt;&gt;"",INDEX(keycodes!$E:$E,MATCH(C20,keycodes!$A:$A,0),0),INDEX(keycodes!$C:$C,MATCH(C20,keycodes!$A:$A,0),0)),INDEX(keycodes!$C:$C,MATCH(C20,keycodes!$B:$B,0),0)))</f>
        <v>XXXXXXX</v>
      </c>
      <c r="D46" s="42" t="str">
        <f aca="false">IF(D20="",keycodes!$C$2,IF($B$1="Japanese",IF(INDEX(keycodes!$E:$E,MATCH(D20,keycodes!$A:$A,0),0)&lt;&gt;"",INDEX(keycodes!$E:$E,MATCH(D20,keycodes!$A:$A,0),0),INDEX(keycodes!$C:$C,MATCH(D20,keycodes!$A:$A,0),0)),INDEX(keycodes!$C:$C,MATCH(D20,keycodes!$B:$B,0),0)))</f>
        <v>KC_HOME</v>
      </c>
      <c r="E46" s="42" t="str">
        <f aca="false">IF(E20="",keycodes!$C$2,IF($B$1="Japanese",IF(INDEX(keycodes!$E:$E,MATCH(E20,keycodes!$A:$A,0),0)&lt;&gt;"",INDEX(keycodes!$E:$E,MATCH(E20,keycodes!$A:$A,0),0),INDEX(keycodes!$C:$C,MATCH(E20,keycodes!$A:$A,0),0)),INDEX(keycodes!$C:$C,MATCH(E20,keycodes!$B:$B,0),0)))</f>
        <v>KC_PGUP</v>
      </c>
      <c r="F46" s="42" t="str">
        <f aca="false">IF(F20="",keycodes!$C$2,IF($B$1="Japanese",IF(INDEX(keycodes!$E:$E,MATCH(F20,keycodes!$A:$A,0),0)&lt;&gt;"",INDEX(keycodes!$E:$E,MATCH(F20,keycodes!$A:$A,0),0),INDEX(keycodes!$C:$C,MATCH(F20,keycodes!$A:$A,0),0)),INDEX(keycodes!$C:$C,MATCH(F20,keycodes!$B:$B,0),0)))</f>
        <v>KC_PGDN</v>
      </c>
      <c r="G46" s="42" t="str">
        <f aca="false">IF(G20="",keycodes!$C$2,IF($B$1="Japanese",IF(INDEX(keycodes!$E:$E,MATCH(G20,keycodes!$A:$A,0),0)&lt;&gt;"",INDEX(keycodes!$E:$E,MATCH(G20,keycodes!$A:$A,0),0),INDEX(keycodes!$C:$C,MATCH(G20,keycodes!$A:$A,0),0)),INDEX(keycodes!$C:$C,MATCH(G20,keycodes!$B:$B,0),0)))</f>
        <v>KC_END</v>
      </c>
      <c r="H46" s="43" t="str">
        <f aca="false">IF(H20="",keycodes!$C$2,IF($B$1="Japanese",IF(INDEX(keycodes!$E:$E,MATCH(H20,keycodes!$A:$A,0),0)&lt;&gt;"",INDEX(keycodes!$E:$E,MATCH(H20,keycodes!$A:$A,0),0),INDEX(keycodes!$C:$C,MATCH(H20,keycodes!$A:$A,0),0)),INDEX(keycodes!$C:$C,MATCH(H20,keycodes!$B:$B,0),0)))</f>
        <v>NONE</v>
      </c>
      <c r="I46" s="43" t="str">
        <f aca="false">IF(I20="",keycodes!$C$2,IF($B$1="Japanese",IF(INDEX(keycodes!$E:$E,MATCH(I20,keycodes!$A:$A,0),0)&lt;&gt;"",INDEX(keycodes!$E:$E,MATCH(I20,keycodes!$A:$A,0),0),INDEX(keycodes!$C:$C,MATCH(I20,keycodes!$A:$A,0),0)),INDEX(keycodes!$C:$C,MATCH(I20,keycodes!$B:$B,0),0)))</f>
        <v>NONE</v>
      </c>
      <c r="J46" s="42" t="str">
        <f aca="false">IF(J20="",keycodes!$C$2,IF($B$1="Japanese",IF(INDEX(keycodes!$E:$E,MATCH(J20,keycodes!$A:$A,0),0)&lt;&gt;"",INDEX(keycodes!$E:$E,MATCH(J20,keycodes!$A:$A,0),0),INDEX(keycodes!$C:$C,MATCH(J20,keycodes!$A:$A,0),0)),INDEX(keycodes!$C:$C,MATCH(J20,keycodes!$B:$B,0),0)))</f>
        <v>KC_LEFT</v>
      </c>
      <c r="K46" s="42" t="str">
        <f aca="false">IF(K20="",keycodes!$C$2,IF($B$1="Japanese",IF(INDEX(keycodes!$E:$E,MATCH(K20,keycodes!$A:$A,0),0)&lt;&gt;"",INDEX(keycodes!$E:$E,MATCH(K20,keycodes!$A:$A,0),0),INDEX(keycodes!$C:$C,MATCH(K20,keycodes!$A:$A,0),0)),INDEX(keycodes!$C:$C,MATCH(K20,keycodes!$B:$B,0),0)))</f>
        <v>KC_DOWN</v>
      </c>
      <c r="L46" s="42" t="str">
        <f aca="false">IF(L20="",keycodes!$C$2,IF($B$1="Japanese",IF(INDEX(keycodes!$E:$E,MATCH(L20,keycodes!$A:$A,0),0)&lt;&gt;"",INDEX(keycodes!$E:$E,MATCH(L20,keycodes!$A:$A,0),0),INDEX(keycodes!$C:$C,MATCH(L20,keycodes!$A:$A,0),0)),INDEX(keycodes!$C:$C,MATCH(L20,keycodes!$B:$B,0),0)))</f>
        <v>KC_UP</v>
      </c>
      <c r="M46" s="42" t="str">
        <f aca="false">IF(M20="",keycodes!$C$2,IF($B$1="Japanese",IF(INDEX(keycodes!$E:$E,MATCH(M20,keycodes!$A:$A,0),0)&lt;&gt;"",INDEX(keycodes!$E:$E,MATCH(M20,keycodes!$A:$A,0),0),INDEX(keycodes!$C:$C,MATCH(M20,keycodes!$A:$A,0),0)),INDEX(keycodes!$C:$C,MATCH(M20,keycodes!$B:$B,0),0)))</f>
        <v>KC_RGHT</v>
      </c>
      <c r="N46" s="42" t="str">
        <f aca="false">IF(N20="",keycodes!$C$2,IF($B$1="Japanese",IF(INDEX(keycodes!$E:$E,MATCH(N20,keycodes!$A:$A,0),0)&lt;&gt;"",INDEX(keycodes!$E:$E,MATCH(N20,keycodes!$A:$A,0),0),INDEX(keycodes!$C:$C,MATCH(N20,keycodes!$A:$A,0),0)),INDEX(keycodes!$C:$C,MATCH(N20,keycodes!$B:$B,0),0)))</f>
        <v>KC_EQL</v>
      </c>
      <c r="O46" s="44" t="str">
        <f aca="false">IF(O20="",keycodes!$C$2,IF($B$1="Japanese",IF(INDEX(keycodes!$E:$E,MATCH(O20,keycodes!$A:$A,0),0)&lt;&gt;"",INDEX(keycodes!$E:$E,MATCH(O20,keycodes!$A:$A,0),0),INDEX(keycodes!$C:$C,MATCH(O20,keycodes!$A:$A,0),0)),INDEX(keycodes!$C:$C,MATCH(O20,keycodes!$B:$B,0),0)))</f>
        <v>KC_MINS</v>
      </c>
    </row>
    <row r="47" customFormat="false" ht="21" hidden="false" customHeight="true" outlineLevel="0" collapsed="false">
      <c r="A47" s="30"/>
      <c r="B47" s="42" t="str">
        <f aca="false">IF(B21="",keycodes!$C$2,IF($B$1="Japanese",IF(INDEX(keycodes!$E:$E,MATCH(B21,keycodes!$A:$A,0),0)&lt;&gt;"",INDEX(keycodes!$E:$E,MATCH(B21,keycodes!$A:$A,0),0),INDEX(keycodes!$C:$C,MATCH(B21,keycodes!$A:$A,0),0)),INDEX(keycodes!$C:$C,MATCH(B21,keycodes!$B:$B,0),0)))</f>
        <v>_______</v>
      </c>
      <c r="C47" s="42" t="str">
        <f aca="false">IF(C21="",keycodes!$C$2,IF($B$1="Japanese",IF(INDEX(keycodes!$E:$E,MATCH(C21,keycodes!$A:$A,0),0)&lt;&gt;"",INDEX(keycodes!$E:$E,MATCH(C21,keycodes!$A:$A,0),0),INDEX(keycodes!$C:$C,MATCH(C21,keycodes!$A:$A,0),0)),INDEX(keycodes!$C:$C,MATCH(C21,keycodes!$B:$B,0),0)))</f>
        <v>KC_LALT</v>
      </c>
      <c r="D47" s="42" t="str">
        <f aca="false">IF(D21="",keycodes!$C$2,IF($B$1="Japanese",IF(INDEX(keycodes!$E:$E,MATCH(D21,keycodes!$A:$A,0),0)&lt;&gt;"",INDEX(keycodes!$E:$E,MATCH(D21,keycodes!$A:$A,0),0),INDEX(keycodes!$C:$C,MATCH(D21,keycodes!$A:$A,0),0)),INDEX(keycodes!$C:$C,MATCH(D21,keycodes!$B:$B,0),0)))</f>
        <v>XXXXXXX</v>
      </c>
      <c r="E47" s="42" t="str">
        <f aca="false">IF(E21="",keycodes!$C$2,IF($B$1="Japanese",IF(INDEX(keycodes!$E:$E,MATCH(E21,keycodes!$A:$A,0),0)&lt;&gt;"",INDEX(keycodes!$E:$E,MATCH(E21,keycodes!$A:$A,0),0),INDEX(keycodes!$C:$C,MATCH(E21,keycodes!$A:$A,0),0)),INDEX(keycodes!$C:$C,MATCH(E21,keycodes!$B:$B,0),0)))</f>
        <v>XXXXXXX</v>
      </c>
      <c r="F47" s="42" t="str">
        <f aca="false">IF(F21="",keycodes!$C$2,IF($B$1="Japanese",IF(INDEX(keycodes!$E:$E,MATCH(F21,keycodes!$A:$A,0),0)&lt;&gt;"",INDEX(keycodes!$E:$E,MATCH(F21,keycodes!$A:$A,0),0),INDEX(keycodes!$C:$C,MATCH(F21,keycodes!$A:$A,0),0)),INDEX(keycodes!$C:$C,MATCH(F21,keycodes!$B:$B,0),0)))</f>
        <v>KC_INT5</v>
      </c>
      <c r="G47" s="42" t="str">
        <f aca="false">IF(G21="",keycodes!$C$2,IF($B$1="Japanese",IF(INDEX(keycodes!$E:$E,MATCH(G21,keycodes!$A:$A,0),0)&lt;&gt;"",INDEX(keycodes!$E:$E,MATCH(G21,keycodes!$A:$A,0),0),INDEX(keycodes!$C:$C,MATCH(G21,keycodes!$A:$A,0),0)),INDEX(keycodes!$C:$C,MATCH(G21,keycodes!$B:$B,0),0)))</f>
        <v>KC_BSPC</v>
      </c>
      <c r="H47" s="43" t="str">
        <f aca="false">IF(H21="",keycodes!$C$2,IF($B$1="Japanese",IF(INDEX(keycodes!$E:$E,MATCH(H21,keycodes!$A:$A,0),0)&lt;&gt;"",INDEX(keycodes!$E:$E,MATCH(H21,keycodes!$A:$A,0),0),INDEX(keycodes!$C:$C,MATCH(H21,keycodes!$A:$A,0),0)),INDEX(keycodes!$C:$C,MATCH(H21,keycodes!$B:$B,0),0)))</f>
        <v>NONE</v>
      </c>
      <c r="I47" s="43" t="str">
        <f aca="false">IF(I21="",keycodes!$C$2,IF($B$1="Japanese",IF(INDEX(keycodes!$E:$E,MATCH(I21,keycodes!$A:$A,0),0)&lt;&gt;"",INDEX(keycodes!$E:$E,MATCH(I21,keycodes!$A:$A,0),0),INDEX(keycodes!$C:$C,MATCH(I21,keycodes!$A:$A,0),0)),INDEX(keycodes!$C:$C,MATCH(I21,keycodes!$B:$B,0),0)))</f>
        <v>NONE</v>
      </c>
      <c r="J47" s="42" t="str">
        <f aca="false">IF(J21="",keycodes!$C$2,IF($B$1="Japanese",IF(INDEX(keycodes!$E:$E,MATCH(J21,keycodes!$A:$A,0),0)&lt;&gt;"",INDEX(keycodes!$E:$E,MATCH(J21,keycodes!$A:$A,0),0),INDEX(keycodes!$C:$C,MATCH(J21,keycodes!$A:$A,0),0)),INDEX(keycodes!$C:$C,MATCH(J21,keycodes!$B:$B,0),0)))</f>
        <v>KC_DEL</v>
      </c>
      <c r="K47" s="42" t="str">
        <f aca="false">IF(K21="",keycodes!$C$2,IF($B$1="Japanese",IF(INDEX(keycodes!$E:$E,MATCH(K21,keycodes!$A:$A,0),0)&lt;&gt;"",INDEX(keycodes!$E:$E,MATCH(K21,keycodes!$A:$A,0),0),INDEX(keycodes!$C:$C,MATCH(K21,keycodes!$A:$A,0),0)),INDEX(keycodes!$C:$C,MATCH(K21,keycodes!$B:$B,0),0)))</f>
        <v>KC_INT4</v>
      </c>
      <c r="L47" s="42" t="str">
        <f aca="false">IF(L21="",keycodes!$C$2,IF($B$1="Japanese",IF(INDEX(keycodes!$E:$E,MATCH(L21,keycodes!$A:$A,0),0)&lt;&gt;"",INDEX(keycodes!$E:$E,MATCH(L21,keycodes!$A:$A,0),0),INDEX(keycodes!$C:$C,MATCH(L21,keycodes!$A:$A,0),0)),INDEX(keycodes!$C:$C,MATCH(L21,keycodes!$B:$B,0),0)))</f>
        <v>KC_RBRC</v>
      </c>
      <c r="M47" s="42" t="str">
        <f aca="false">IF(M21="",keycodes!$C$2,IF($B$1="Japanese",IF(INDEX(keycodes!$E:$E,MATCH(M21,keycodes!$A:$A,0),0)&lt;&gt;"",INDEX(keycodes!$E:$E,MATCH(M21,keycodes!$A:$A,0),0),INDEX(keycodes!$C:$C,MATCH(M21,keycodes!$A:$A,0),0)),INDEX(keycodes!$C:$C,MATCH(M21,keycodes!$B:$B,0),0)))</f>
        <v>KC_BSLS</v>
      </c>
      <c r="N47" s="42" t="str">
        <f aca="false">IF(N21="",keycodes!$C$2,IF($B$1="Japanese",IF(INDEX(keycodes!$E:$E,MATCH(N21,keycodes!$A:$A,0),0)&lt;&gt;"",INDEX(keycodes!$E:$E,MATCH(N21,keycodes!$A:$A,0),0),INDEX(keycodes!$C:$C,MATCH(N21,keycodes!$A:$A,0),0)),INDEX(keycodes!$C:$C,MATCH(N21,keycodes!$B:$B,0),0)))</f>
        <v>S(KC_EQL)</v>
      </c>
      <c r="O47" s="44" t="str">
        <f aca="false">IF(O21="",keycodes!$C$2,IF($B$1="Japanese",IF(INDEX(keycodes!$E:$E,MATCH(O21,keycodes!$A:$A,0),0)&lt;&gt;"",INDEX(keycodes!$E:$E,MATCH(O21,keycodes!$A:$A,0),0),INDEX(keycodes!$C:$C,MATCH(O21,keycodes!$A:$A,0),0)),INDEX(keycodes!$C:$C,MATCH(O21,keycodes!$B:$B,0),0)))</f>
        <v>S(KC_INT3)</v>
      </c>
    </row>
    <row r="48" customFormat="false" ht="21" hidden="false" customHeight="true" outlineLevel="0" collapsed="false">
      <c r="A48" s="34"/>
      <c r="B48" s="45" t="str">
        <f aca="false">IF(B22="",keycodes!$C$2,IF($B$1="Japanese",IF(INDEX(keycodes!$E:$E,MATCH(B22,keycodes!$A:$A,0),0)&lt;&gt;"",INDEX(keycodes!$E:$E,MATCH(B22,keycodes!$A:$A,0),0),INDEX(keycodes!$C:$C,MATCH(B22,keycodes!$A:$A,0),0)),INDEX(keycodes!$C:$C,MATCH(B22,keycodes!$B:$B,0),0)))</f>
        <v>NONE</v>
      </c>
      <c r="C48" s="45" t="str">
        <f aca="false">IF(C22="",keycodes!$C$2,IF($B$1="Japanese",IF(INDEX(keycodes!$E:$E,MATCH(C22,keycodes!$A:$A,0),0)&lt;&gt;"",INDEX(keycodes!$E:$E,MATCH(C22,keycodes!$A:$A,0),0),INDEX(keycodes!$C:$C,MATCH(C22,keycodes!$A:$A,0),0)),INDEX(keycodes!$C:$C,MATCH(C22,keycodes!$B:$B,0),0)))</f>
        <v>NONE</v>
      </c>
      <c r="D48" s="45" t="str">
        <f aca="false">IF(D22="",keycodes!$C$2,IF($B$1="Japanese",IF(INDEX(keycodes!$E:$E,MATCH(D22,keycodes!$A:$A,0),0)&lt;&gt;"",INDEX(keycodes!$E:$E,MATCH(D22,keycodes!$A:$A,0),0),INDEX(keycodes!$C:$C,MATCH(D22,keycodes!$A:$A,0),0)),INDEX(keycodes!$C:$C,MATCH(D22,keycodes!$B:$B,0),0)))</f>
        <v>NONE</v>
      </c>
      <c r="E48" s="45" t="str">
        <f aca="false">IF(E22="",keycodes!$C$2,IF($B$1="Japanese",IF(INDEX(keycodes!$E:$E,MATCH(E22,keycodes!$A:$A,0),0)&lt;&gt;"",INDEX(keycodes!$E:$E,MATCH(E22,keycodes!$A:$A,0),0),INDEX(keycodes!$C:$C,MATCH(E22,keycodes!$A:$A,0),0)),INDEX(keycodes!$C:$C,MATCH(E22,keycodes!$B:$B,0),0)))</f>
        <v>NONE</v>
      </c>
      <c r="F48" s="46" t="str">
        <f aca="false">IF(F22="",keycodes!$C$2,IF($B$1="Japanese",IF(INDEX(keycodes!$E:$E,MATCH(F22,keycodes!$A:$A,0),0)&lt;&gt;"",INDEX(keycodes!$E:$E,MATCH(F22,keycodes!$A:$A,0),0),INDEX(keycodes!$C:$C,MATCH(F22,keycodes!$A:$A,0),0)),INDEX(keycodes!$C:$C,MATCH(F22,keycodes!$B:$B,0),0)))</f>
        <v>_______</v>
      </c>
      <c r="G48" s="46" t="str">
        <f aca="false">IF(G22="",keycodes!$C$2,IF($B$1="Japanese",IF(INDEX(keycodes!$E:$E,MATCH(G22,keycodes!$A:$A,0),0)&lt;&gt;"",INDEX(keycodes!$E:$E,MATCH(G22,keycodes!$A:$A,0),0),INDEX(keycodes!$C:$C,MATCH(G22,keycodes!$A:$A,0),0)),INDEX(keycodes!$C:$C,MATCH(G22,keycodes!$B:$B,0),0)))</f>
        <v>_______</v>
      </c>
      <c r="H48" s="46" t="str">
        <f aca="false">IF(H22="",keycodes!$C$2,IF($B$1="Japanese",IF(INDEX(keycodes!$E:$E,MATCH(H22,keycodes!$A:$A,0),0)&lt;&gt;"",INDEX(keycodes!$E:$E,MATCH(H22,keycodes!$A:$A,0),0),INDEX(keycodes!$C:$C,MATCH(H22,keycodes!$A:$A,0),0)),INDEX(keycodes!$C:$C,MATCH(H22,keycodes!$B:$B,0),0)))</f>
        <v>_______</v>
      </c>
      <c r="I48" s="46" t="str">
        <f aca="false">IF(I22="",keycodes!$C$2,IF($B$1="Japanese",IF(INDEX(keycodes!$E:$E,MATCH(I22,keycodes!$A:$A,0),0)&lt;&gt;"",INDEX(keycodes!$E:$E,MATCH(I22,keycodes!$A:$A,0),0),INDEX(keycodes!$C:$C,MATCH(I22,keycodes!$A:$A,0),0)),INDEX(keycodes!$C:$C,MATCH(I22,keycodes!$B:$B,0),0)))</f>
        <v>_______</v>
      </c>
      <c r="J48" s="46" t="str">
        <f aca="false">IF(J22="",keycodes!$C$2,IF($B$1="Japanese",IF(INDEX(keycodes!$E:$E,MATCH(J22,keycodes!$A:$A,0),0)&lt;&gt;"",INDEX(keycodes!$E:$E,MATCH(J22,keycodes!$A:$A,0),0),INDEX(keycodes!$C:$C,MATCH(J22,keycodes!$A:$A,0),0)),INDEX(keycodes!$C:$C,MATCH(J22,keycodes!$B:$B,0),0)))</f>
        <v>_______</v>
      </c>
      <c r="K48" s="46" t="str">
        <f aca="false">IF(K22="",keycodes!$C$2,IF($B$1="Japanese",IF(INDEX(keycodes!$E:$E,MATCH(K22,keycodes!$A:$A,0),0)&lt;&gt;"",INDEX(keycodes!$E:$E,MATCH(K22,keycodes!$A:$A,0),0),INDEX(keycodes!$C:$C,MATCH(K22,keycodes!$A:$A,0),0)),INDEX(keycodes!$C:$C,MATCH(K22,keycodes!$B:$B,0),0)))</f>
        <v>_______</v>
      </c>
      <c r="L48" s="45" t="str">
        <f aca="false">IF(L22="",keycodes!$C$2,IF($B$1="Japanese",IF(INDEX(keycodes!$E:$E,MATCH(L22,keycodes!$A:$A,0),0)&lt;&gt;"",INDEX(keycodes!$E:$E,MATCH(L22,keycodes!$A:$A,0),0),INDEX(keycodes!$C:$C,MATCH(L22,keycodes!$A:$A,0),0)),INDEX(keycodes!$C:$C,MATCH(L22,keycodes!$B:$B,0),0)))</f>
        <v>TERM</v>
      </c>
      <c r="M48" s="45" t="str">
        <f aca="false">IF(M22="",keycodes!$C$2,IF($B$1="Japanese",IF(INDEX(keycodes!$E:$E,MATCH(M22,keycodes!$A:$A,0),0)&lt;&gt;"",INDEX(keycodes!$E:$E,MATCH(M22,keycodes!$A:$A,0),0),INDEX(keycodes!$C:$C,MATCH(M22,keycodes!$A:$A,0),0)),INDEX(keycodes!$C:$C,MATCH(M22,keycodes!$B:$B,0),0)))</f>
        <v>TERM</v>
      </c>
      <c r="N48" s="45" t="str">
        <f aca="false">IF(N22="",keycodes!$C$2,IF($B$1="Japanese",IF(INDEX(keycodes!$E:$E,MATCH(N22,keycodes!$A:$A,0),0)&lt;&gt;"",INDEX(keycodes!$E:$E,MATCH(N22,keycodes!$A:$A,0),0),INDEX(keycodes!$C:$C,MATCH(N22,keycodes!$A:$A,0),0)),INDEX(keycodes!$C:$C,MATCH(N22,keycodes!$B:$B,0),0)))</f>
        <v>TERM</v>
      </c>
      <c r="O48" s="47" t="str">
        <f aca="false">IF(O22="",keycodes!$C$2,IF($B$1="Japanese",IF(INDEX(keycodes!$E:$E,MATCH(O22,keycodes!$A:$A,0),0)&lt;&gt;"",INDEX(keycodes!$E:$E,MATCH(O22,keycodes!$A:$A,0),0),INDEX(keycodes!$C:$C,MATCH(O22,keycodes!$A:$A,0),0)),INDEX(keycodes!$C:$C,MATCH(O22,keycodes!$B:$B,0),0)))</f>
        <v>TERM</v>
      </c>
    </row>
    <row r="49" customFormat="false" ht="21" hidden="false" customHeight="true" outlineLevel="0" collapsed="false">
      <c r="A49" s="26" t="s">
        <v>321</v>
      </c>
      <c r="B49" s="39" t="str">
        <f aca="false">IF(B23="",keycodes!$C$2,IF($B$1="Japanese",IF(INDEX(keycodes!$E:$E,MATCH(B23,keycodes!$A:$A,0),0)&lt;&gt;"",INDEX(keycodes!$E:$E,MATCH(B23,keycodes!$A:$A,0),0),INDEX(keycodes!$C:$C,MATCH(B23,keycodes!$A:$A,0),0)),INDEX(keycodes!$C:$C,MATCH(B23,keycodes!$B:$B,0),0)))</f>
        <v>KC_F1</v>
      </c>
      <c r="C49" s="39" t="str">
        <f aca="false">IF(C23="",keycodes!$C$2,IF($B$1="Japanese",IF(INDEX(keycodes!$E:$E,MATCH(C23,keycodes!$A:$A,0),0)&lt;&gt;"",INDEX(keycodes!$E:$E,MATCH(C23,keycodes!$A:$A,0),0),INDEX(keycodes!$C:$C,MATCH(C23,keycodes!$A:$A,0),0)),INDEX(keycodes!$C:$C,MATCH(C23,keycodes!$B:$B,0),0)))</f>
        <v>KC_F2</v>
      </c>
      <c r="D49" s="39" t="str">
        <f aca="false">IF(D23="",keycodes!$C$2,IF($B$1="Japanese",IF(INDEX(keycodes!$E:$E,MATCH(D23,keycodes!$A:$A,0),0)&lt;&gt;"",INDEX(keycodes!$E:$E,MATCH(D23,keycodes!$A:$A,0),0),INDEX(keycodes!$C:$C,MATCH(D23,keycodes!$A:$A,0),0)),INDEX(keycodes!$C:$C,MATCH(D23,keycodes!$B:$B,0),0)))</f>
        <v>KC_F3</v>
      </c>
      <c r="E49" s="39" t="str">
        <f aca="false">IF(E23="",keycodes!$C$2,IF($B$1="Japanese",IF(INDEX(keycodes!$E:$E,MATCH(E23,keycodes!$A:$A,0),0)&lt;&gt;"",INDEX(keycodes!$E:$E,MATCH(E23,keycodes!$A:$A,0),0),INDEX(keycodes!$C:$C,MATCH(E23,keycodes!$A:$A,0),0)),INDEX(keycodes!$C:$C,MATCH(E23,keycodes!$B:$B,0),0)))</f>
        <v>KC_F4</v>
      </c>
      <c r="F49" s="39" t="str">
        <f aca="false">IF(F23="",keycodes!$C$2,IF($B$1="Japanese",IF(INDEX(keycodes!$E:$E,MATCH(F23,keycodes!$A:$A,0),0)&lt;&gt;"",INDEX(keycodes!$E:$E,MATCH(F23,keycodes!$A:$A,0),0),INDEX(keycodes!$C:$C,MATCH(F23,keycodes!$A:$A,0),0)),INDEX(keycodes!$C:$C,MATCH(F23,keycodes!$B:$B,0),0)))</f>
        <v>KC_F5</v>
      </c>
      <c r="G49" s="39" t="str">
        <f aca="false">IF(G23="",keycodes!$C$2,IF($B$1="Japanese",IF(INDEX(keycodes!$E:$E,MATCH(G23,keycodes!$A:$A,0),0)&lt;&gt;"",INDEX(keycodes!$E:$E,MATCH(G23,keycodes!$A:$A,0),0),INDEX(keycodes!$C:$C,MATCH(G23,keycodes!$A:$A,0),0)),INDEX(keycodes!$C:$C,MATCH(G23,keycodes!$B:$B,0),0)))</f>
        <v>KC_F6</v>
      </c>
      <c r="H49" s="40" t="str">
        <f aca="false">IF(H23="",keycodes!$C$2,IF($B$1="Japanese",IF(INDEX(keycodes!$E:$E,MATCH(H23,keycodes!$A:$A,0),0)&lt;&gt;"",INDEX(keycodes!$E:$E,MATCH(H23,keycodes!$A:$A,0),0),INDEX(keycodes!$C:$C,MATCH(H23,keycodes!$A:$A,0),0)),INDEX(keycodes!$C:$C,MATCH(H23,keycodes!$B:$B,0),0)))</f>
        <v>NONE</v>
      </c>
      <c r="I49" s="40" t="str">
        <f aca="false">IF(I23="",keycodes!$C$2,IF($B$1="Japanese",IF(INDEX(keycodes!$E:$E,MATCH(I23,keycodes!$A:$A,0),0)&lt;&gt;"",INDEX(keycodes!$E:$E,MATCH(I23,keycodes!$A:$A,0),0),INDEX(keycodes!$C:$C,MATCH(I23,keycodes!$A:$A,0),0)),INDEX(keycodes!$C:$C,MATCH(I23,keycodes!$B:$B,0),0)))</f>
        <v>NONE</v>
      </c>
      <c r="J49" s="39" t="str">
        <f aca="false">IF(J23="",keycodes!$C$2,IF($B$1="Japanese",IF(INDEX(keycodes!$E:$E,MATCH(J23,keycodes!$A:$A,0),0)&lt;&gt;"",INDEX(keycodes!$E:$E,MATCH(J23,keycodes!$A:$A,0),0),INDEX(keycodes!$C:$C,MATCH(J23,keycodes!$A:$A,0),0)),INDEX(keycodes!$C:$C,MATCH(J23,keycodes!$B:$B,0),0)))</f>
        <v>KC_F7</v>
      </c>
      <c r="K49" s="39" t="str">
        <f aca="false">IF(K23="",keycodes!$C$2,IF($B$1="Japanese",IF(INDEX(keycodes!$E:$E,MATCH(K23,keycodes!$A:$A,0),0)&lt;&gt;"",INDEX(keycodes!$E:$E,MATCH(K23,keycodes!$A:$A,0),0),INDEX(keycodes!$C:$C,MATCH(K23,keycodes!$A:$A,0),0)),INDEX(keycodes!$C:$C,MATCH(K23,keycodes!$B:$B,0),0)))</f>
        <v>KC_F8</v>
      </c>
      <c r="L49" s="39" t="str">
        <f aca="false">IF(L23="",keycodes!$C$2,IF($B$1="Japanese",IF(INDEX(keycodes!$E:$E,MATCH(L23,keycodes!$A:$A,0),0)&lt;&gt;"",INDEX(keycodes!$E:$E,MATCH(L23,keycodes!$A:$A,0),0),INDEX(keycodes!$C:$C,MATCH(L23,keycodes!$A:$A,0),0)),INDEX(keycodes!$C:$C,MATCH(L23,keycodes!$B:$B,0),0)))</f>
        <v>KC_F9</v>
      </c>
      <c r="M49" s="39" t="str">
        <f aca="false">IF(M23="",keycodes!$C$2,IF($B$1="Japanese",IF(INDEX(keycodes!$E:$E,MATCH(M23,keycodes!$A:$A,0),0)&lt;&gt;"",INDEX(keycodes!$E:$E,MATCH(M23,keycodes!$A:$A,0),0),INDEX(keycodes!$C:$C,MATCH(M23,keycodes!$A:$A,0),0)),INDEX(keycodes!$C:$C,MATCH(M23,keycodes!$B:$B,0),0)))</f>
        <v>KC_F10</v>
      </c>
      <c r="N49" s="39" t="str">
        <f aca="false">IF(N23="",keycodes!$C$2,IF($B$1="Japanese",IF(INDEX(keycodes!$E:$E,MATCH(N23,keycodes!$A:$A,0),0)&lt;&gt;"",INDEX(keycodes!$E:$E,MATCH(N23,keycodes!$A:$A,0),0),INDEX(keycodes!$C:$C,MATCH(N23,keycodes!$A:$A,0),0)),INDEX(keycodes!$C:$C,MATCH(N23,keycodes!$B:$B,0),0)))</f>
        <v>KC_F11</v>
      </c>
      <c r="O49" s="41" t="str">
        <f aca="false">IF(O23="",keycodes!$C$2,IF($B$1="Japanese",IF(INDEX(keycodes!$E:$E,MATCH(O23,keycodes!$A:$A,0),0)&lt;&gt;"",INDEX(keycodes!$E:$E,MATCH(O23,keycodes!$A:$A,0),0),INDEX(keycodes!$C:$C,MATCH(O23,keycodes!$A:$A,0),0)),INDEX(keycodes!$C:$C,MATCH(O23,keycodes!$B:$B,0),0)))</f>
        <v>KC_F12</v>
      </c>
    </row>
    <row r="50" customFormat="false" ht="21" hidden="false" customHeight="true" outlineLevel="0" collapsed="false">
      <c r="A50" s="30"/>
      <c r="B50" s="42" t="str">
        <f aca="false">IF(B24="",keycodes!$C$2,IF($B$1="Japanese",IF(INDEX(keycodes!$E:$E,MATCH(B24,keycodes!$A:$A,0),0)&lt;&gt;"",INDEX(keycodes!$E:$E,MATCH(B24,keycodes!$A:$A,0),0),INDEX(keycodes!$C:$C,MATCH(B24,keycodes!$A:$A,0),0)),INDEX(keycodes!$C:$C,MATCH(B24,keycodes!$B:$B,0),0)))</f>
        <v>XXXXXXX</v>
      </c>
      <c r="C50" s="42" t="str">
        <f aca="false">IF(C24="",keycodes!$C$2,IF($B$1="Japanese",IF(INDEX(keycodes!$E:$E,MATCH(C24,keycodes!$A:$A,0),0)&lt;&gt;"",INDEX(keycodes!$E:$E,MATCH(C24,keycodes!$A:$A,0),0),INDEX(keycodes!$C:$C,MATCH(C24,keycodes!$A:$A,0),0)),INDEX(keycodes!$C:$C,MATCH(C24,keycodes!$B:$B,0),0)))</f>
        <v>KC_1</v>
      </c>
      <c r="D50" s="42" t="str">
        <f aca="false">IF(D24="",keycodes!$C$2,IF($B$1="Japanese",IF(INDEX(keycodes!$E:$E,MATCH(D24,keycodes!$A:$A,0),0)&lt;&gt;"",INDEX(keycodes!$E:$E,MATCH(D24,keycodes!$A:$A,0),0),INDEX(keycodes!$C:$C,MATCH(D24,keycodes!$A:$A,0),0)),INDEX(keycodes!$C:$C,MATCH(D24,keycodes!$B:$B,0),0)))</f>
        <v>KC_2</v>
      </c>
      <c r="E50" s="42" t="str">
        <f aca="false">IF(E24="",keycodes!$C$2,IF($B$1="Japanese",IF(INDEX(keycodes!$E:$E,MATCH(E24,keycodes!$A:$A,0),0)&lt;&gt;"",INDEX(keycodes!$E:$E,MATCH(E24,keycodes!$A:$A,0),0),INDEX(keycodes!$C:$C,MATCH(E24,keycodes!$A:$A,0),0)),INDEX(keycodes!$C:$C,MATCH(E24,keycodes!$B:$B,0),0)))</f>
        <v>KC_3</v>
      </c>
      <c r="F50" s="42" t="str">
        <f aca="false">IF(F24="",keycodes!$C$2,IF($B$1="Japanese",IF(INDEX(keycodes!$E:$E,MATCH(F24,keycodes!$A:$A,0),0)&lt;&gt;"",INDEX(keycodes!$E:$E,MATCH(F24,keycodes!$A:$A,0),0),INDEX(keycodes!$C:$C,MATCH(F24,keycodes!$A:$A,0),0)),INDEX(keycodes!$C:$C,MATCH(F24,keycodes!$B:$B,0),0)))</f>
        <v>KC_4</v>
      </c>
      <c r="G50" s="42" t="str">
        <f aca="false">IF(G24="",keycodes!$C$2,IF($B$1="Japanese",IF(INDEX(keycodes!$E:$E,MATCH(G24,keycodes!$A:$A,0),0)&lt;&gt;"",INDEX(keycodes!$E:$E,MATCH(G24,keycodes!$A:$A,0),0),INDEX(keycodes!$C:$C,MATCH(G24,keycodes!$A:$A,0),0)),INDEX(keycodes!$C:$C,MATCH(G24,keycodes!$B:$B,0),0)))</f>
        <v>KC_5</v>
      </c>
      <c r="H50" s="43" t="str">
        <f aca="false">IF(H24="",keycodes!$C$2,IF($B$1="Japanese",IF(INDEX(keycodes!$E:$E,MATCH(H24,keycodes!$A:$A,0),0)&lt;&gt;"",INDEX(keycodes!$E:$E,MATCH(H24,keycodes!$A:$A,0),0),INDEX(keycodes!$C:$C,MATCH(H24,keycodes!$A:$A,0),0)),INDEX(keycodes!$C:$C,MATCH(H24,keycodes!$B:$B,0),0)))</f>
        <v>NONE</v>
      </c>
      <c r="I50" s="43" t="str">
        <f aca="false">IF(I24="",keycodes!$C$2,IF($B$1="Japanese",IF(INDEX(keycodes!$E:$E,MATCH(I24,keycodes!$A:$A,0),0)&lt;&gt;"",INDEX(keycodes!$E:$E,MATCH(I24,keycodes!$A:$A,0),0),INDEX(keycodes!$C:$C,MATCH(I24,keycodes!$A:$A,0),0)),INDEX(keycodes!$C:$C,MATCH(I24,keycodes!$B:$B,0),0)))</f>
        <v>NONE</v>
      </c>
      <c r="J50" s="42" t="str">
        <f aca="false">IF(J24="",keycodes!$C$2,IF($B$1="Japanese",IF(INDEX(keycodes!$E:$E,MATCH(J24,keycodes!$A:$A,0),0)&lt;&gt;"",INDEX(keycodes!$E:$E,MATCH(J24,keycodes!$A:$A,0),0),INDEX(keycodes!$C:$C,MATCH(J24,keycodes!$A:$A,0),0)),INDEX(keycodes!$C:$C,MATCH(J24,keycodes!$B:$B,0),0)))</f>
        <v>KC_6</v>
      </c>
      <c r="K50" s="42" t="str">
        <f aca="false">IF(K24="",keycodes!$C$2,IF($B$1="Japanese",IF(INDEX(keycodes!$E:$E,MATCH(K24,keycodes!$A:$A,0),0)&lt;&gt;"",INDEX(keycodes!$E:$E,MATCH(K24,keycodes!$A:$A,0),0),INDEX(keycodes!$C:$C,MATCH(K24,keycodes!$A:$A,0),0)),INDEX(keycodes!$C:$C,MATCH(K24,keycodes!$B:$B,0),0)))</f>
        <v>KC_7</v>
      </c>
      <c r="L50" s="42" t="str">
        <f aca="false">IF(L24="",keycodes!$C$2,IF($B$1="Japanese",IF(INDEX(keycodes!$E:$E,MATCH(L24,keycodes!$A:$A,0),0)&lt;&gt;"",INDEX(keycodes!$E:$E,MATCH(L24,keycodes!$A:$A,0),0),INDEX(keycodes!$C:$C,MATCH(L24,keycodes!$A:$A,0),0)),INDEX(keycodes!$C:$C,MATCH(L24,keycodes!$B:$B,0),0)))</f>
        <v>KC_8</v>
      </c>
      <c r="M50" s="42" t="str">
        <f aca="false">IF(M24="",keycodes!$C$2,IF($B$1="Japanese",IF(INDEX(keycodes!$E:$E,MATCH(M24,keycodes!$A:$A,0),0)&lt;&gt;"",INDEX(keycodes!$E:$E,MATCH(M24,keycodes!$A:$A,0),0),INDEX(keycodes!$C:$C,MATCH(M24,keycodes!$A:$A,0),0)),INDEX(keycodes!$C:$C,MATCH(M24,keycodes!$B:$B,0),0)))</f>
        <v>KC_9</v>
      </c>
      <c r="N50" s="42" t="str">
        <f aca="false">IF(N24="",keycodes!$C$2,IF($B$1="Japanese",IF(INDEX(keycodes!$E:$E,MATCH(N24,keycodes!$A:$A,0),0)&lt;&gt;"",INDEX(keycodes!$E:$E,MATCH(N24,keycodes!$A:$A,0),0),INDEX(keycodes!$C:$C,MATCH(N24,keycodes!$A:$A,0),0)),INDEX(keycodes!$C:$C,MATCH(N24,keycodes!$B:$B,0),0)))</f>
        <v>KC_0</v>
      </c>
      <c r="O50" s="44" t="str">
        <f aca="false">IF(O24="",keycodes!$C$2,IF($B$1="Japanese",IF(INDEX(keycodes!$E:$E,MATCH(O24,keycodes!$A:$A,0),0)&lt;&gt;"",INDEX(keycodes!$E:$E,MATCH(O24,keycodes!$A:$A,0),0),INDEX(keycodes!$C:$C,MATCH(O24,keycodes!$A:$A,0),0)),INDEX(keycodes!$C:$C,MATCH(O24,keycodes!$B:$B,0),0)))</f>
        <v>_______</v>
      </c>
    </row>
    <row r="51" customFormat="false" ht="21" hidden="false" customHeight="true" outlineLevel="0" collapsed="false">
      <c r="A51" s="30"/>
      <c r="B51" s="42" t="str">
        <f aca="false">IF(B25="",keycodes!$C$2,IF($B$1="Japanese",IF(INDEX(keycodes!$E:$E,MATCH(B25,keycodes!$A:$A,0),0)&lt;&gt;"",INDEX(keycodes!$E:$E,MATCH(B25,keycodes!$A:$A,0),0),INDEX(keycodes!$C:$C,MATCH(B25,keycodes!$A:$A,0),0)),INDEX(keycodes!$C:$C,MATCH(B25,keycodes!$B:$B,0),0)))</f>
        <v>_______</v>
      </c>
      <c r="C51" s="42" t="str">
        <f aca="false">IF(C25="",keycodes!$C$2,IF($B$1="Japanese",IF(INDEX(keycodes!$E:$E,MATCH(C25,keycodes!$A:$A,0),0)&lt;&gt;"",INDEX(keycodes!$E:$E,MATCH(C25,keycodes!$A:$A,0),0),INDEX(keycodes!$C:$C,MATCH(C25,keycodes!$A:$A,0),0)),INDEX(keycodes!$C:$C,MATCH(C25,keycodes!$B:$B,0),0)))</f>
        <v>_______</v>
      </c>
      <c r="D51" s="42" t="str">
        <f aca="false">IF(D25="",keycodes!$C$2,IF($B$1="Japanese",IF(INDEX(keycodes!$E:$E,MATCH(D25,keycodes!$A:$A,0),0)&lt;&gt;"",INDEX(keycodes!$E:$E,MATCH(D25,keycodes!$A:$A,0),0),INDEX(keycodes!$C:$C,MATCH(D25,keycodes!$A:$A,0),0)),INDEX(keycodes!$C:$C,MATCH(D25,keycodes!$B:$B,0),0)))</f>
        <v>KC_VOLD</v>
      </c>
      <c r="E51" s="42" t="str">
        <f aca="false">IF(E25="",keycodes!$C$2,IF($B$1="Japanese",IF(INDEX(keycodes!$E:$E,MATCH(E25,keycodes!$A:$A,0),0)&lt;&gt;"",INDEX(keycodes!$E:$E,MATCH(E25,keycodes!$A:$A,0),0),INDEX(keycodes!$C:$C,MATCH(E25,keycodes!$A:$A,0),0)),INDEX(keycodes!$C:$C,MATCH(E25,keycodes!$B:$B,0),0)))</f>
        <v>KC_VOLU</v>
      </c>
      <c r="F51" s="42" t="str">
        <f aca="false">IF(F25="",keycodes!$C$2,IF($B$1="Japanese",IF(INDEX(keycodes!$E:$E,MATCH(F25,keycodes!$A:$A,0),0)&lt;&gt;"",INDEX(keycodes!$E:$E,MATCH(F25,keycodes!$A:$A,0),0),INDEX(keycodes!$C:$C,MATCH(F25,keycodes!$A:$A,0),0)),INDEX(keycodes!$C:$C,MATCH(F25,keycodes!$B:$B,0),0)))</f>
        <v>_______</v>
      </c>
      <c r="G51" s="42" t="str">
        <f aca="false">IF(G25="",keycodes!$C$2,IF($B$1="Japanese",IF(INDEX(keycodes!$E:$E,MATCH(G25,keycodes!$A:$A,0),0)&lt;&gt;"",INDEX(keycodes!$E:$E,MATCH(G25,keycodes!$A:$A,0),0),INDEX(keycodes!$C:$C,MATCH(G25,keycodes!$A:$A,0),0)),INDEX(keycodes!$C:$C,MATCH(G25,keycodes!$B:$B,0),0)))</f>
        <v>_______</v>
      </c>
      <c r="H51" s="43" t="str">
        <f aca="false">IF(H25="",keycodes!$C$2,IF($B$1="Japanese",IF(INDEX(keycodes!$E:$E,MATCH(H25,keycodes!$A:$A,0),0)&lt;&gt;"",INDEX(keycodes!$E:$E,MATCH(H25,keycodes!$A:$A,0),0),INDEX(keycodes!$C:$C,MATCH(H25,keycodes!$A:$A,0),0)),INDEX(keycodes!$C:$C,MATCH(H25,keycodes!$B:$B,0),0)))</f>
        <v>NONE</v>
      </c>
      <c r="I51" s="43" t="str">
        <f aca="false">IF(I25="",keycodes!$C$2,IF($B$1="Japanese",IF(INDEX(keycodes!$E:$E,MATCH(I25,keycodes!$A:$A,0),0)&lt;&gt;"",INDEX(keycodes!$E:$E,MATCH(I25,keycodes!$A:$A,0),0),INDEX(keycodes!$C:$C,MATCH(I25,keycodes!$A:$A,0),0)),INDEX(keycodes!$C:$C,MATCH(I25,keycodes!$B:$B,0),0)))</f>
        <v>NONE</v>
      </c>
      <c r="J51" s="42" t="str">
        <f aca="false">IF(J25="",keycodes!$C$2,IF($B$1="Japanese",IF(INDEX(keycodes!$E:$E,MATCH(J25,keycodes!$A:$A,0),0)&lt;&gt;"",INDEX(keycodes!$E:$E,MATCH(J25,keycodes!$A:$A,0),0),INDEX(keycodes!$C:$C,MATCH(J25,keycodes!$A:$A,0),0)),INDEX(keycodes!$C:$C,MATCH(J25,keycodes!$B:$B,0),0)))</f>
        <v>_______</v>
      </c>
      <c r="K51" s="42" t="str">
        <f aca="false">IF(K25="",keycodes!$C$2,IF($B$1="Japanese",IF(INDEX(keycodes!$E:$E,MATCH(K25,keycodes!$A:$A,0),0)&lt;&gt;"",INDEX(keycodes!$E:$E,MATCH(K25,keycodes!$A:$A,0),0),INDEX(keycodes!$C:$C,MATCH(K25,keycodes!$A:$A,0),0)),INDEX(keycodes!$C:$C,MATCH(K25,keycodes!$B:$B,0),0)))</f>
        <v>_______</v>
      </c>
      <c r="L51" s="42" t="str">
        <f aca="false">IF(L25="",keycodes!$C$2,IF($B$1="Japanese",IF(INDEX(keycodes!$E:$E,MATCH(L25,keycodes!$A:$A,0),0)&lt;&gt;"",INDEX(keycodes!$E:$E,MATCH(L25,keycodes!$A:$A,0),0),INDEX(keycodes!$C:$C,MATCH(L25,keycodes!$A:$A,0),0)),INDEX(keycodes!$C:$C,MATCH(L25,keycodes!$B:$B,0),0)))</f>
        <v>KC_COMM</v>
      </c>
      <c r="M51" s="42" t="str">
        <f aca="false">IF(M25="",keycodes!$C$2,IF($B$1="Japanese",IF(INDEX(keycodes!$E:$E,MATCH(M25,keycodes!$A:$A,0),0)&lt;&gt;"",INDEX(keycodes!$E:$E,MATCH(M25,keycodes!$A:$A,0),0),INDEX(keycodes!$C:$C,MATCH(M25,keycodes!$A:$A,0),0)),INDEX(keycodes!$C:$C,MATCH(M25,keycodes!$B:$B,0),0)))</f>
        <v>KC_DOT</v>
      </c>
      <c r="N51" s="42" t="str">
        <f aca="false">IF(N25="",keycodes!$C$2,IF($B$1="Japanese",IF(INDEX(keycodes!$E:$E,MATCH(N25,keycodes!$A:$A,0),0)&lt;&gt;"",INDEX(keycodes!$E:$E,MATCH(N25,keycodes!$A:$A,0),0),INDEX(keycodes!$C:$C,MATCH(N25,keycodes!$A:$A,0),0)),INDEX(keycodes!$C:$C,MATCH(N25,keycodes!$B:$B,0),0)))</f>
        <v>KC_SLSH</v>
      </c>
      <c r="O51" s="44" t="str">
        <f aca="false">IF(O25="",keycodes!$C$2,IF($B$1="Japanese",IF(INDEX(keycodes!$E:$E,MATCH(O25,keycodes!$A:$A,0),0)&lt;&gt;"",INDEX(keycodes!$E:$E,MATCH(O25,keycodes!$A:$A,0),0),INDEX(keycodes!$C:$C,MATCH(O25,keycodes!$A:$A,0),0)),INDEX(keycodes!$C:$C,MATCH(O25,keycodes!$B:$B,0),0)))</f>
        <v>KC_INT1</v>
      </c>
    </row>
    <row r="52" customFormat="false" ht="21" hidden="false" customHeight="true" outlineLevel="0" collapsed="false">
      <c r="A52" s="34"/>
      <c r="B52" s="45" t="str">
        <f aca="false">IF(B26="",keycodes!$C$2,IF($B$1="Japanese",IF(INDEX(keycodes!$E:$E,MATCH(B26,keycodes!$A:$A,0),0)&lt;&gt;"",INDEX(keycodes!$E:$E,MATCH(B26,keycodes!$A:$A,0),0),INDEX(keycodes!$C:$C,MATCH(B26,keycodes!$A:$A,0),0)),INDEX(keycodes!$C:$C,MATCH(B26,keycodes!$B:$B,0),0)))</f>
        <v>NONE</v>
      </c>
      <c r="C52" s="45" t="str">
        <f aca="false">IF(C26="",keycodes!$C$2,IF($B$1="Japanese",IF(INDEX(keycodes!$E:$E,MATCH(C26,keycodes!$A:$A,0),0)&lt;&gt;"",INDEX(keycodes!$E:$E,MATCH(C26,keycodes!$A:$A,0),0),INDEX(keycodes!$C:$C,MATCH(C26,keycodes!$A:$A,0),0)),INDEX(keycodes!$C:$C,MATCH(C26,keycodes!$B:$B,0),0)))</f>
        <v>NONE</v>
      </c>
      <c r="D52" s="45" t="str">
        <f aca="false">IF(D26="",keycodes!$C$2,IF($B$1="Japanese",IF(INDEX(keycodes!$E:$E,MATCH(D26,keycodes!$A:$A,0),0)&lt;&gt;"",INDEX(keycodes!$E:$E,MATCH(D26,keycodes!$A:$A,0),0),INDEX(keycodes!$C:$C,MATCH(D26,keycodes!$A:$A,0),0)),INDEX(keycodes!$C:$C,MATCH(D26,keycodes!$B:$B,0),0)))</f>
        <v>NONE</v>
      </c>
      <c r="E52" s="45" t="str">
        <f aca="false">IF(E26="",keycodes!$C$2,IF($B$1="Japanese",IF(INDEX(keycodes!$E:$E,MATCH(E26,keycodes!$A:$A,0),0)&lt;&gt;"",INDEX(keycodes!$E:$E,MATCH(E26,keycodes!$A:$A,0),0),INDEX(keycodes!$C:$C,MATCH(E26,keycodes!$A:$A,0),0)),INDEX(keycodes!$C:$C,MATCH(E26,keycodes!$B:$B,0),0)))</f>
        <v>NONE</v>
      </c>
      <c r="F52" s="46" t="str">
        <f aca="false">IF(F26="",keycodes!$C$2,IF($B$1="Japanese",IF(INDEX(keycodes!$E:$E,MATCH(F26,keycodes!$A:$A,0),0)&lt;&gt;"",INDEX(keycodes!$E:$E,MATCH(F26,keycodes!$A:$A,0),0),INDEX(keycodes!$C:$C,MATCH(F26,keycodes!$A:$A,0),0)),INDEX(keycodes!$C:$C,MATCH(F26,keycodes!$B:$B,0),0)))</f>
        <v>_______</v>
      </c>
      <c r="G52" s="46" t="str">
        <f aca="false">IF(G26="",keycodes!$C$2,IF($B$1="Japanese",IF(INDEX(keycodes!$E:$E,MATCH(G26,keycodes!$A:$A,0),0)&lt;&gt;"",INDEX(keycodes!$E:$E,MATCH(G26,keycodes!$A:$A,0),0),INDEX(keycodes!$C:$C,MATCH(G26,keycodes!$A:$A,0),0)),INDEX(keycodes!$C:$C,MATCH(G26,keycodes!$B:$B,0),0)))</f>
        <v>_______</v>
      </c>
      <c r="H52" s="46" t="str">
        <f aca="false">IF(H26="",keycodes!$C$2,IF($B$1="Japanese",IF(INDEX(keycodes!$E:$E,MATCH(H26,keycodes!$A:$A,0),0)&lt;&gt;"",INDEX(keycodes!$E:$E,MATCH(H26,keycodes!$A:$A,0),0),INDEX(keycodes!$C:$C,MATCH(H26,keycodes!$A:$A,0),0)),INDEX(keycodes!$C:$C,MATCH(H26,keycodes!$B:$B,0),0)))</f>
        <v>_______</v>
      </c>
      <c r="I52" s="46" t="str">
        <f aca="false">IF(I26="",keycodes!$C$2,IF($B$1="Japanese",IF(INDEX(keycodes!$E:$E,MATCH(I26,keycodes!$A:$A,0),0)&lt;&gt;"",INDEX(keycodes!$E:$E,MATCH(I26,keycodes!$A:$A,0),0),INDEX(keycodes!$C:$C,MATCH(I26,keycodes!$A:$A,0),0)),INDEX(keycodes!$C:$C,MATCH(I26,keycodes!$B:$B,0),0)))</f>
        <v>_______</v>
      </c>
      <c r="J52" s="46" t="str">
        <f aca="false">IF(J26="",keycodes!$C$2,IF($B$1="Japanese",IF(INDEX(keycodes!$E:$E,MATCH(J26,keycodes!$A:$A,0),0)&lt;&gt;"",INDEX(keycodes!$E:$E,MATCH(J26,keycodes!$A:$A,0),0),INDEX(keycodes!$C:$C,MATCH(J26,keycodes!$A:$A,0),0)),INDEX(keycodes!$C:$C,MATCH(J26,keycodes!$B:$B,0),0)))</f>
        <v>_______</v>
      </c>
      <c r="K52" s="46" t="str">
        <f aca="false">IF(K26="",keycodes!$C$2,IF($B$1="Japanese",IF(INDEX(keycodes!$E:$E,MATCH(K26,keycodes!$A:$A,0),0)&lt;&gt;"",INDEX(keycodes!$E:$E,MATCH(K26,keycodes!$A:$A,0),0),INDEX(keycodes!$C:$C,MATCH(K26,keycodes!$A:$A,0),0)),INDEX(keycodes!$C:$C,MATCH(K26,keycodes!$B:$B,0),0)))</f>
        <v>_______</v>
      </c>
      <c r="L52" s="45" t="str">
        <f aca="false">IF(L26="",keycodes!$C$2,IF($B$1="Japanese",IF(INDEX(keycodes!$E:$E,MATCH(L26,keycodes!$A:$A,0),0)&lt;&gt;"",INDEX(keycodes!$E:$E,MATCH(L26,keycodes!$A:$A,0),0),INDEX(keycodes!$C:$C,MATCH(L26,keycodes!$A:$A,0),0)),INDEX(keycodes!$C:$C,MATCH(L26,keycodes!$B:$B,0),0)))</f>
        <v>TERM</v>
      </c>
      <c r="M52" s="45" t="str">
        <f aca="false">IF(M26="",keycodes!$C$2,IF($B$1="Japanese",IF(INDEX(keycodes!$E:$E,MATCH(M26,keycodes!$A:$A,0),0)&lt;&gt;"",INDEX(keycodes!$E:$E,MATCH(M26,keycodes!$A:$A,0),0),INDEX(keycodes!$C:$C,MATCH(M26,keycodes!$A:$A,0),0)),INDEX(keycodes!$C:$C,MATCH(M26,keycodes!$B:$B,0),0)))</f>
        <v>TERM</v>
      </c>
      <c r="N52" s="45" t="str">
        <f aca="false">IF(N26="",keycodes!$C$2,IF($B$1="Japanese",IF(INDEX(keycodes!$E:$E,MATCH(N26,keycodes!$A:$A,0),0)&lt;&gt;"",INDEX(keycodes!$E:$E,MATCH(N26,keycodes!$A:$A,0),0),INDEX(keycodes!$C:$C,MATCH(N26,keycodes!$A:$A,0),0)),INDEX(keycodes!$C:$C,MATCH(N26,keycodes!$B:$B,0),0)))</f>
        <v>TERM</v>
      </c>
      <c r="O52" s="47" t="str">
        <f aca="false">IF(O26="",keycodes!$C$2,IF($B$1="Japanese",IF(INDEX(keycodes!$E:$E,MATCH(O26,keycodes!$A:$A,0),0)&lt;&gt;"",INDEX(keycodes!$E:$E,MATCH(O26,keycodes!$A:$A,0),0),INDEX(keycodes!$C:$C,MATCH(O26,keycodes!$A:$A,0),0)),INDEX(keycodes!$C:$C,MATCH(O26,keycodes!$B:$B,0),0)))</f>
        <v>TERM</v>
      </c>
    </row>
    <row r="53" customFormat="false" ht="21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customFormat="false" ht="21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customFormat="false" ht="21" hidden="false" customHeight="true" outlineLevel="0" collapsed="false">
      <c r="A55" s="26" t="s">
        <v>316</v>
      </c>
      <c r="B55" s="39" t="str">
        <f aca="false">IF(B29="TERM","",IF(B29="NONE",REPT(" ",17),REPT(" ",15-LEN(B29))&amp;B29))&amp;IF(OR(B29="TERM",B29="NONE"),"",IF(C29="TERM","",IF(C29="",",",", ")))</f>
        <v>         KC_ESC, </v>
      </c>
      <c r="C55" s="39" t="str">
        <f aca="false">IF(C29="TERM","",IF(C29="NONE",REPT(" ",17),REPT(" ",15-LEN(C29))&amp;C29))&amp;IF(OR(C29="TERM",C29="NONE"),"",IF(D29="TERM","",IF(D29="",",",", ")))</f>
        <v>           KC_Q, </v>
      </c>
      <c r="D55" s="39" t="str">
        <f aca="false">IF(D29="TERM","",IF(D29="NONE",REPT(" ",17),REPT(" ",15-LEN(D29))&amp;D29))&amp;IF(OR(D29="TERM",D29="NONE"),"",IF(E29="TERM","",IF(E29="",",",", ")))</f>
        <v>           KC_W, </v>
      </c>
      <c r="E55" s="39" t="str">
        <f aca="false">IF(E29="TERM","",IF(E29="NONE",REPT(" ",17),REPT(" ",15-LEN(E29))&amp;E29))&amp;IF(OR(E29="TERM",E29="NONE"),"",IF(F29="TERM","",IF(F29="",",",", ")))</f>
        <v>           KC_E, </v>
      </c>
      <c r="F55" s="39" t="str">
        <f aca="false">IF(F29="TERM","",IF(F29="NONE",REPT(" ",17),REPT(" ",15-LEN(F29))&amp;F29))&amp;IF(OR(F29="TERM",F29="NONE"),"",IF(G29="TERM","",IF(G29="",",",", ")))</f>
        <v>           KC_R, </v>
      </c>
      <c r="G55" s="39" t="str">
        <f aca="false">IF(G29="TERM","",IF(G29="NONE",REPT(" ",17),REPT(" ",15-LEN(G29))&amp;G29))&amp;IF(OR(G29="TERM",G29="NONE"),"",IF(H29="TERM","",IF(H29="",",",", ")))</f>
        <v>           KC_T, </v>
      </c>
      <c r="H55" s="40" t="str">
        <f aca="false">IF(H29="TERM","",IF(H29="NONE",REPT(" ",17),REPT(" ",15-LEN(H29))&amp;H29))&amp;IF(OR(H29="TERM",H29="NONE"),"",IF(I29="TERM","",IF(I29="",",",", ")))</f>
        <v>                 </v>
      </c>
      <c r="I55" s="40" t="str">
        <f aca="false">IF(I29="TERM","",IF(I29="NONE",REPT(" ",17),REPT(" ",15-LEN(I29))&amp;I29))&amp;IF(OR(I29="TERM",I29="NONE"),"",IF(J29="TERM","",IF(J29="",",",", ")))</f>
        <v>                 </v>
      </c>
      <c r="J55" s="39" t="str">
        <f aca="false">IF(J29="TERM","",IF(J29="NONE",REPT(" ",17),REPT(" ",15-LEN(J29))&amp;J29))&amp;IF(OR(J29="TERM",J29="NONE"),"",IF(K29="TERM","",IF(K29="",",",", ")))</f>
        <v>           KC_Y, </v>
      </c>
      <c r="K55" s="39" t="str">
        <f aca="false">IF(K29="TERM","",IF(K29="NONE",REPT(" ",17),REPT(" ",15-LEN(K29))&amp;K29))&amp;IF(OR(K29="TERM",K29="NONE"),"",IF(L29="TERM","",IF(L29="",",",", ")))</f>
        <v>           KC_U, </v>
      </c>
      <c r="L55" s="39" t="str">
        <f aca="false">IF(L29="TERM","",IF(L29="NONE",REPT(" ",17),REPT(" ",15-LEN(L29))&amp;L29))&amp;IF(OR(L29="TERM",L29="NONE"),"",IF(M29="TERM","",IF(M29="",",",", ")))</f>
        <v>           KC_I, </v>
      </c>
      <c r="M55" s="39" t="str">
        <f aca="false">IF(M29="TERM","",IF(M29="NONE",REPT(" ",17),REPT(" ",15-LEN(M29))&amp;M29))&amp;IF(OR(M29="TERM",M29="NONE"),"",IF(N29="TERM","",IF(N29="",",",", ")))</f>
        <v>           KC_O, </v>
      </c>
      <c r="N55" s="39" t="str">
        <f aca="false">IF(N29="TERM","",IF(N29="NONE",REPT(" ",17),REPT(" ",15-LEN(N29))&amp;N29))&amp;IF(OR(N29="TERM",N29="NONE"),"",IF(O29="TERM","",IF(O29="",",",", ")))</f>
        <v>           KC_P, </v>
      </c>
      <c r="O55" s="41" t="str">
        <f aca="false">IF(O29="TERM","",IF(O29="NONE",REPT(" ",17),REPT(" ",15-LEN(O29))&amp;O29))&amp;IF(OR(O29="TERM",O29="NONE"),"",IF(P29="TERM","",IF(P29="",",",", ")))</f>
        <v>        KC_LBRC,</v>
      </c>
    </row>
    <row r="56" customFormat="false" ht="21" hidden="false" customHeight="true" outlineLevel="0" collapsed="false">
      <c r="A56" s="30"/>
      <c r="B56" s="42" t="str">
        <f aca="false">IF(B30="TERM","",IF(B30="NONE",REPT(" ",17),REPT(" ",15-LEN(B30))&amp;B30))&amp;IF(OR(B30="TERM",B30="NONE"),"",IF(C30="TERM","",IF(C30="",",",", ")))</f>
        <v>         KC_TAB, </v>
      </c>
      <c r="C56" s="42" t="str">
        <f aca="false">IF(C30="TERM","",IF(C30="NONE",REPT(" ",17),REPT(" ",15-LEN(C30))&amp;C30))&amp;IF(OR(C30="TERM",C30="NONE"),"",IF(D30="TERM","",IF(D30="",",",", ")))</f>
        <v>           KC_A, </v>
      </c>
      <c r="D56" s="42" t="str">
        <f aca="false">IF(D30="TERM","",IF(D30="NONE",REPT(" ",17),REPT(" ",15-LEN(D30))&amp;D30))&amp;IF(OR(D30="TERM",D30="NONE"),"",IF(E30="TERM","",IF(E30="",",",", ")))</f>
        <v>           KC_S, </v>
      </c>
      <c r="E56" s="42" t="str">
        <f aca="false">IF(E30="TERM","",IF(E30="NONE",REPT(" ",17),REPT(" ",15-LEN(E30))&amp;E30))&amp;IF(OR(E30="TERM",E30="NONE"),"",IF(F30="TERM","",IF(F30="",",",", ")))</f>
        <v>           KC_D, </v>
      </c>
      <c r="F56" s="42" t="str">
        <f aca="false">IF(F30="TERM","",IF(F30="NONE",REPT(" ",17),REPT(" ",15-LEN(F30))&amp;F30))&amp;IF(OR(F30="TERM",F30="NONE"),"",IF(G30="TERM","",IF(G30="",",",", ")))</f>
        <v>           KC_F, </v>
      </c>
      <c r="G56" s="42" t="str">
        <f aca="false">IF(G30="TERM","",IF(G30="NONE",REPT(" ",17),REPT(" ",15-LEN(G30))&amp;G30))&amp;IF(OR(G30="TERM",G30="NONE"),"",IF(H30="TERM","",IF(H30="",",",", ")))</f>
        <v>           KC_G, </v>
      </c>
      <c r="H56" s="43" t="str">
        <f aca="false">IF(H30="TERM","",IF(H30="NONE",REPT(" ",17),REPT(" ",15-LEN(H30))&amp;H30))&amp;IF(OR(H30="TERM",H30="NONE"),"",IF(I30="TERM","",IF(I30="",",",", ")))</f>
        <v>                 </v>
      </c>
      <c r="I56" s="43" t="str">
        <f aca="false">IF(I30="TERM","",IF(I30="NONE",REPT(" ",17),REPT(" ",15-LEN(I30))&amp;I30))&amp;IF(OR(I30="TERM",I30="NONE"),"",IF(J30="TERM","",IF(J30="",",",", ")))</f>
        <v>                 </v>
      </c>
      <c r="J56" s="42" t="str">
        <f aca="false">IF(J30="TERM","",IF(J30="NONE",REPT(" ",17),REPT(" ",15-LEN(J30))&amp;J30))&amp;IF(OR(J30="TERM",J30="NONE"),"",IF(K30="TERM","",IF(K30="",",",", ")))</f>
        <v>           KC_H, </v>
      </c>
      <c r="K56" s="42" t="str">
        <f aca="false">IF(K30="TERM","",IF(K30="NONE",REPT(" ",17),REPT(" ",15-LEN(K30))&amp;K30))&amp;IF(OR(K30="TERM",K30="NONE"),"",IF(L30="TERM","",IF(L30="",",",", ")))</f>
        <v>           KC_J, </v>
      </c>
      <c r="L56" s="42" t="str">
        <f aca="false">IF(L30="TERM","",IF(L30="NONE",REPT(" ",17),REPT(" ",15-LEN(L30))&amp;L30))&amp;IF(OR(L30="TERM",L30="NONE"),"",IF(M30="TERM","",IF(M30="",",",", ")))</f>
        <v>           KC_K, </v>
      </c>
      <c r="M56" s="42" t="str">
        <f aca="false">IF(M30="TERM","",IF(M30="NONE",REPT(" ",17),REPT(" ",15-LEN(M30))&amp;M30))&amp;IF(OR(M30="TERM",M30="NONE"),"",IF(N30="TERM","",IF(N30="",",",", ")))</f>
        <v>           KC_L, </v>
      </c>
      <c r="N56" s="42" t="str">
        <f aca="false">IF(N30="TERM","",IF(N30="NONE",REPT(" ",17),REPT(" ",15-LEN(N30))&amp;N30))&amp;IF(OR(N30="TERM",N30="NONE"),"",IF(O30="TERM","",IF(O30="",",",", ")))</f>
        <v>        KC_SCLN, </v>
      </c>
      <c r="O56" s="44" t="str">
        <f aca="false">IF(O30="TERM","",IF(O30="NONE",REPT(" ",17),REPT(" ",15-LEN(O30))&amp;O30))&amp;IF(OR(O30="TERM",O30="NONE"),"",IF(P30="TERM","",IF(P30="",",",", ")))</f>
        <v>        KC_QUOT,</v>
      </c>
    </row>
    <row r="57" customFormat="false" ht="21" hidden="false" customHeight="true" outlineLevel="0" collapsed="false">
      <c r="A57" s="30"/>
      <c r="B57" s="42" t="str">
        <f aca="false">IF(B31="TERM","",IF(B31="NONE",REPT(" ",17),REPT(" ",15-LEN(B31))&amp;B31))&amp;IF(OR(B31="TERM",B31="NONE"),"",IF(C31="TERM","",IF(C31="",",",", ")))</f>
        <v>        KC_LCTL, </v>
      </c>
      <c r="C57" s="42" t="str">
        <f aca="false">IF(C31="TERM","",IF(C31="NONE",REPT(" ",17),REPT(" ",15-LEN(C31))&amp;C31))&amp;IF(OR(C31="TERM",C31="NONE"),"",IF(D31="TERM","",IF(D31="",",",", ")))</f>
        <v>           KC_Z, </v>
      </c>
      <c r="D57" s="42" t="str">
        <f aca="false">IF(D31="TERM","",IF(D31="NONE",REPT(" ",17),REPT(" ",15-LEN(D31))&amp;D31))&amp;IF(OR(D31="TERM",D31="NONE"),"",IF(E31="TERM","",IF(E31="",",",", ")))</f>
        <v>           KC_X, </v>
      </c>
      <c r="E57" s="42" t="str">
        <f aca="false">IF(E31="TERM","",IF(E31="NONE",REPT(" ",17),REPT(" ",15-LEN(E31))&amp;E31))&amp;IF(OR(E31="TERM",E31="NONE"),"",IF(F31="TERM","",IF(F31="",",",", ")))</f>
        <v>           KC_C, </v>
      </c>
      <c r="F57" s="42" t="str">
        <f aca="false">IF(F31="TERM","",IF(F31="NONE",REPT(" ",17),REPT(" ",15-LEN(F31))&amp;F31))&amp;IF(OR(F31="TERM",F31="NONE"),"",IF(G31="TERM","",IF(G31="",",",", ")))</f>
        <v>           KC_V, </v>
      </c>
      <c r="G57" s="42" t="str">
        <f aca="false">IF(G31="TERM","",IF(G31="NONE",REPT(" ",17),REPT(" ",15-LEN(G31))&amp;G31))&amp;IF(OR(G31="TERM",G31="NONE"),"",IF(H31="TERM","",IF(H31="",",",", ")))</f>
        <v>           KC_B, </v>
      </c>
      <c r="H57" s="43" t="str">
        <f aca="false">IF(H31="TERM","",IF(H31="NONE",REPT(" ",17),REPT(" ",15-LEN(H31))&amp;H31))&amp;IF(OR(H31="TERM",H31="NONE"),"",IF(I31="TERM","",IF(I31="",",",", ")))</f>
        <v>                 </v>
      </c>
      <c r="I57" s="43" t="str">
        <f aca="false">IF(I31="TERM","",IF(I31="NONE",REPT(" ",17),REPT(" ",15-LEN(I31))&amp;I31))&amp;IF(OR(I31="TERM",I31="NONE"),"",IF(J31="TERM","",IF(J31="",",",", ")))</f>
        <v>                 </v>
      </c>
      <c r="J57" s="42" t="str">
        <f aca="false">IF(J31="TERM","",IF(J31="NONE",REPT(" ",17),REPT(" ",15-LEN(J31))&amp;J31))&amp;IF(OR(J31="TERM",J31="NONE"),"",IF(K31="TERM","",IF(K31="",",",", ")))</f>
        <v>           KC_N, </v>
      </c>
      <c r="K57" s="42" t="str">
        <f aca="false">IF(K31="TERM","",IF(K31="NONE",REPT(" ",17),REPT(" ",15-LEN(K31))&amp;K31))&amp;IF(OR(K31="TERM",K31="NONE"),"",IF(L31="TERM","",IF(L31="",",",", ")))</f>
        <v>           KC_M, </v>
      </c>
      <c r="L57" s="42" t="str">
        <f aca="false">IF(L31="TERM","",IF(L31="NONE",REPT(" ",17),REPT(" ",15-LEN(L31))&amp;L31))&amp;IF(OR(L31="TERM",L31="NONE"),"",IF(M31="TERM","",IF(M31="",",",", ")))</f>
        <v>        KC_COMM, </v>
      </c>
      <c r="M57" s="42" t="str">
        <f aca="false">IF(M31="TERM","",IF(M31="NONE",REPT(" ",17),REPT(" ",15-LEN(M31))&amp;M31))&amp;IF(OR(M31="TERM",M31="NONE"),"",IF(N31="TERM","",IF(N31="",",",", ")))</f>
        <v>         KC_DOT, </v>
      </c>
      <c r="N57" s="42" t="str">
        <f aca="false">IF(N31="TERM","",IF(N31="NONE",REPT(" ",17),REPT(" ",15-LEN(N31))&amp;N31))&amp;IF(OR(N31="TERM",N31="NONE"),"",IF(O31="TERM","",IF(O31="",",",", ")))</f>
        <v>        KC_SLSH, </v>
      </c>
      <c r="O57" s="44" t="str">
        <f aca="false">IF(O31="TERM","",IF(O31="NONE",REPT(" ",17),REPT(" ",15-LEN(O31))&amp;O31))&amp;IF(OR(O31="TERM",O31="NONE"),"",IF(P31="TERM","",IF(P31="",",",", ")))</f>
        <v>        KC_INT1,</v>
      </c>
    </row>
    <row r="58" customFormat="false" ht="21" hidden="false" customHeight="true" outlineLevel="0" collapsed="false">
      <c r="A58" s="34"/>
      <c r="B58" s="45" t="str">
        <f aca="false">IF(B32="TERM","",IF(B32="NONE",REPT(" ",17),REPT(" ",15-LEN(B32))&amp;B32))&amp;IF(OR(B32="TERM",B32="NONE"),"",IF(C32="TERM","",IF(C32="",",",", ")))</f>
        <v>                 </v>
      </c>
      <c r="C58" s="45" t="str">
        <f aca="false">IF(C32="TERM","",IF(C32="NONE",REPT(" ",17),REPT(" ",15-LEN(C32))&amp;C32))&amp;IF(OR(C32="TERM",C32="NONE"),"",IF(D32="TERM","",IF(D32="",",",", ")))</f>
        <v>                 </v>
      </c>
      <c r="D58" s="45" t="str">
        <f aca="false">IF(D32="TERM","",IF(D32="NONE",REPT(" ",17),REPT(" ",15-LEN(D32))&amp;D32))&amp;IF(OR(D32="TERM",D32="NONE"),"",IF(E32="TERM","",IF(E32="",",",", ")))</f>
        <v>                 </v>
      </c>
      <c r="E58" s="45" t="str">
        <f aca="false">IF(E32="TERM","",IF(E32="NONE",REPT(" ",17),REPT(" ",15-LEN(E32))&amp;E32))&amp;IF(OR(E32="TERM",E32="NONE"),"",IF(F32="TERM","",IF(F32="",",",", ")))</f>
        <v>                 </v>
      </c>
      <c r="F58" s="46" t="str">
        <f aca="false">IF(F32="TERM","",IF(F32="NONE",REPT(" ",17),REPT(" ",15-LEN(F32))&amp;F32))&amp;IF(OR(F32="TERM",F32="NONE"),"",IF(G32="TERM","",IF(G32="",",",", ")))</f>
        <v>           TG_R, </v>
      </c>
      <c r="G58" s="46" t="str">
        <f aca="false">IF(G32="TERM","",IF(G32="NONE",REPT(" ",17),REPT(" ",15-LEN(G32))&amp;G32))&amp;IF(OR(G32="TERM",G32="NONE"),"",IF(H32="TERM","",IF(H32="",",",", ")))</f>
        <v>           MO_R, </v>
      </c>
      <c r="H58" s="46" t="str">
        <f aca="false">IF(H32="TERM","",IF(H32="NONE",REPT(" ",17),REPT(" ",15-LEN(H32))&amp;H32))&amp;IF(OR(H32="TERM",H32="NONE"),"",IF(I32="TERM","",IF(I32="",",",", ")))</f>
        <v>       LSFT_SPC, </v>
      </c>
      <c r="I58" s="46" t="str">
        <f aca="false">IF(I32="TERM","",IF(I32="NONE",REPT(" ",17),REPT(" ",15-LEN(I32))&amp;I32))&amp;IF(OR(I32="TERM",I32="NONE"),"",IF(J32="TERM","",IF(J32="",",",", ")))</f>
        <v>       RSTF_ENT, </v>
      </c>
      <c r="J58" s="46" t="str">
        <f aca="false">IF(J32="TERM","",IF(J32="NONE",REPT(" ",17),REPT(" ",15-LEN(J32))&amp;J32))&amp;IF(OR(J32="TERM",J32="NONE"),"",IF(K32="TERM","",IF(K32="",",",", ")))</f>
        <v>           MO_L, </v>
      </c>
      <c r="K58" s="46" t="str">
        <f aca="false">IF(K32="TERM","",IF(K32="NONE",REPT(" ",17),REPT(" ",15-LEN(K32))&amp;K32))&amp;IF(OR(K32="TERM",K32="NONE"),"",IF(L32="TERM","",IF(L32="",",",", ")))</f>
        <v>           TG_L</v>
      </c>
      <c r="L58" s="45" t="str">
        <f aca="false">IF(L32="TERM","",IF(L32="NONE",REPT(" ",17),REPT(" ",15-LEN(L32))&amp;L32))&amp;IF(OR(L32="TERM",L32="NONE"),"",IF(M32="TERM","",IF(M32="",",",", ")))</f>
        <v/>
      </c>
      <c r="M58" s="45" t="str">
        <f aca="false">IF(M32="TERM","",IF(M32="NONE",REPT(" ",17),REPT(" ",15-LEN(M32))&amp;M32))&amp;IF(OR(M32="TERM",M32="NONE"),"",IF(N32="TERM","",IF(N32="",",",", ")))</f>
        <v/>
      </c>
      <c r="N58" s="45" t="str">
        <f aca="false">IF(N32="TERM","",IF(N32="NONE",REPT(" ",17),REPT(" ",15-LEN(N32))&amp;N32))&amp;IF(OR(N32="TERM",N32="NONE"),"",IF(O32="TERM","",IF(O32="",",",", ")))</f>
        <v/>
      </c>
      <c r="O58" s="47" t="str">
        <f aca="false">IF(O32="TERM","",IF(O32="NONE",REPT(" ",17),REPT(" ",15-LEN(O32))&amp;O32))&amp;IF(OR(O32="TERM",O32="NONE"),"",IF(P32="TERM","",IF(P32="",",",", ")))</f>
        <v/>
      </c>
    </row>
    <row r="59" customFormat="false" ht="21" hidden="false" customHeight="true" outlineLevel="0" collapsed="false">
      <c r="A59" s="26" t="s">
        <v>317</v>
      </c>
      <c r="B59" s="39" t="str">
        <f aca="false">IF(B33="TERM","",IF(B33="NONE",REPT(" ",17),REPT(" ",15-LEN(B33))&amp;B33))&amp;IF(OR(B33="TERM",B33="NONE"),"",IF(C33="TERM","",IF(C33="",",",", ")))</f>
        <v>         KC_APP, </v>
      </c>
      <c r="C59" s="39" t="str">
        <f aca="false">IF(C33="TERM","",IF(C33="NONE",REPT(" ",17),REPT(" ",15-LEN(C33))&amp;C33))&amp;IF(OR(C33="TERM",C33="NONE"),"",IF(D33="TERM","",IF(D33="",",",", ")))</f>
        <v>        S(KC_1), </v>
      </c>
      <c r="D59" s="39" t="str">
        <f aca="false">IF(D33="TERM","",IF(D33="NONE",REPT(" ",17),REPT(" ",15-LEN(D33))&amp;D33))&amp;IF(OR(D33="TERM",D33="NONE"),"",IF(E33="TERM","",IF(E33="",",",", ")))</f>
        <v>        S(KC_2), </v>
      </c>
      <c r="E59" s="39" t="str">
        <f aca="false">IF(E33="TERM","",IF(E33="NONE",REPT(" ",17),REPT(" ",15-LEN(E33))&amp;E33))&amp;IF(OR(E33="TERM",E33="NONE"),"",IF(F33="TERM","",IF(F33="",",",", ")))</f>
        <v>        S(KC_3), </v>
      </c>
      <c r="F59" s="39" t="str">
        <f aca="false">IF(F33="TERM","",IF(F33="NONE",REPT(" ",17),REPT(" ",15-LEN(F33))&amp;F33))&amp;IF(OR(F33="TERM",F33="NONE"),"",IF(G33="TERM","",IF(G33="",",",", ")))</f>
        <v>        S(KC_4), </v>
      </c>
      <c r="G59" s="39" t="str">
        <f aca="false">IF(G33="TERM","",IF(G33="NONE",REPT(" ",17),REPT(" ",15-LEN(G33))&amp;G33))&amp;IF(OR(G33="TERM",G33="NONE"),"",IF(H33="TERM","",IF(H33="",",",", ")))</f>
        <v>        S(KC_5), </v>
      </c>
      <c r="H59" s="40" t="str">
        <f aca="false">IF(H33="TERM","",IF(H33="NONE",REPT(" ",17),REPT(" ",15-LEN(H33))&amp;H33))&amp;IF(OR(H33="TERM",H33="NONE"),"",IF(I33="TERM","",IF(I33="",",",", ")))</f>
        <v>                 </v>
      </c>
      <c r="I59" s="40" t="str">
        <f aca="false">IF(I33="TERM","",IF(I33="NONE",REPT(" ",17),REPT(" ",15-LEN(I33))&amp;I33))&amp;IF(OR(I33="TERM",I33="NONE"),"",IF(J33="TERM","",IF(J33="",",",", ")))</f>
        <v>                 </v>
      </c>
      <c r="J59" s="39" t="str">
        <f aca="false">IF(J33="TERM","",IF(J33="NONE",REPT(" ",17),REPT(" ",15-LEN(J33))&amp;J33))&amp;IF(OR(J33="TERM",J33="NONE"),"",IF(K33="TERM","",IF(K33="",",",", ")))</f>
        <v>        S(KC_6), </v>
      </c>
      <c r="K59" s="39" t="str">
        <f aca="false">IF(K33="TERM","",IF(K33="NONE",REPT(" ",17),REPT(" ",15-LEN(K33))&amp;K33))&amp;IF(OR(K33="TERM",K33="NONE"),"",IF(L33="TERM","",IF(L33="",",",", ")))</f>
        <v>        S(KC_7), </v>
      </c>
      <c r="L59" s="39" t="str">
        <f aca="false">IF(L33="TERM","",IF(L33="NONE",REPT(" ",17),REPT(" ",15-LEN(L33))&amp;L33))&amp;IF(OR(L33="TERM",L33="NONE"),"",IF(M33="TERM","",IF(M33="",",",", ")))</f>
        <v>        S(KC_8), </v>
      </c>
      <c r="M59" s="39" t="str">
        <f aca="false">IF(M33="TERM","",IF(M33="NONE",REPT(" ",17),REPT(" ",15-LEN(M33))&amp;M33))&amp;IF(OR(M33="TERM",M33="NONE"),"",IF(N33="TERM","",IF(N33="",",",", ")))</f>
        <v>        S(KC_9), </v>
      </c>
      <c r="N59" s="39" t="str">
        <f aca="false">IF(N33="TERM","",IF(N33="NONE",REPT(" ",17),REPT(" ",15-LEN(N33))&amp;N33))&amp;IF(OR(N33="TERM",N33="NONE"),"",IF(O33="TERM","",IF(O33="",",",", ")))</f>
        <v>        XXXXXXX, </v>
      </c>
      <c r="O59" s="41" t="str">
        <f aca="false">IF(O33="TERM","",IF(O33="NONE",REPT(" ",17),REPT(" ",15-LEN(O33))&amp;O33))&amp;IF(OR(O33="TERM",O33="NONE"),"",IF(P33="TERM","",IF(P33="",",",", ")))</f>
        <v>     S(KC_LBRC),</v>
      </c>
    </row>
    <row r="60" customFormat="false" ht="21" hidden="false" customHeight="true" outlineLevel="0" collapsed="false">
      <c r="A60" s="30"/>
      <c r="B60" s="42" t="str">
        <f aca="false">IF(B34="TERM","",IF(B34="NONE",REPT(" ",17),REPT(" ",15-LEN(B34))&amp;B34))&amp;IF(OR(B34="TERM",B34="NONE"),"",IF(C34="TERM","",IF(C34="",",",", ")))</f>
        <v>        KC_LGUI, </v>
      </c>
      <c r="C60" s="42" t="str">
        <f aca="false">IF(C34="TERM","",IF(C34="NONE",REPT(" ",17),REPT(" ",15-LEN(C34))&amp;C34))&amp;IF(OR(C34="TERM",C34="NONE"),"",IF(D34="TERM","",IF(D34="",",",", ")))</f>
        <v>        XXXXXXX, </v>
      </c>
      <c r="D60" s="42" t="str">
        <f aca="false">IF(D34="TERM","",IF(D34="NONE",REPT(" ",17),REPT(" ",15-LEN(D34))&amp;D34))&amp;IF(OR(D34="TERM",D34="NONE"),"",IF(E34="TERM","",IF(E34="",",",", ")))</f>
        <v>        KC_HOME, </v>
      </c>
      <c r="E60" s="42" t="str">
        <f aca="false">IF(E34="TERM","",IF(E34="NONE",REPT(" ",17),REPT(" ",15-LEN(E34))&amp;E34))&amp;IF(OR(E34="TERM",E34="NONE"),"",IF(F34="TERM","",IF(F34="",",",", ")))</f>
        <v>        KC_PGUP, </v>
      </c>
      <c r="F60" s="42" t="str">
        <f aca="false">IF(F34="TERM","",IF(F34="NONE",REPT(" ",17),REPT(" ",15-LEN(F34))&amp;F34))&amp;IF(OR(F34="TERM",F34="NONE"),"",IF(G34="TERM","",IF(G34="",",",", ")))</f>
        <v>        KC_PGDN, </v>
      </c>
      <c r="G60" s="42" t="str">
        <f aca="false">IF(G34="TERM","",IF(G34="NONE",REPT(" ",17),REPT(" ",15-LEN(G34))&amp;G34))&amp;IF(OR(G34="TERM",G34="NONE"),"",IF(H34="TERM","",IF(H34="",",",", ")))</f>
        <v>         KC_END, </v>
      </c>
      <c r="H60" s="43" t="str">
        <f aca="false">IF(H34="TERM","",IF(H34="NONE",REPT(" ",17),REPT(" ",15-LEN(H34))&amp;H34))&amp;IF(OR(H34="TERM",H34="NONE"),"",IF(I34="TERM","",IF(I34="",",",", ")))</f>
        <v>                 </v>
      </c>
      <c r="I60" s="43" t="str">
        <f aca="false">IF(I34="TERM","",IF(I34="NONE",REPT(" ",17),REPT(" ",15-LEN(I34))&amp;I34))&amp;IF(OR(I34="TERM",I34="NONE"),"",IF(J34="TERM","",IF(J34="",",",", ")))</f>
        <v>                 </v>
      </c>
      <c r="J60" s="42" t="str">
        <f aca="false">IF(J34="TERM","",IF(J34="NONE",REPT(" ",17),REPT(" ",15-LEN(J34))&amp;J34))&amp;IF(OR(J34="TERM",J34="NONE"),"",IF(K34="TERM","",IF(K34="",",",", ")))</f>
        <v>        KC_LEFT, </v>
      </c>
      <c r="K60" s="42" t="str">
        <f aca="false">IF(K34="TERM","",IF(K34="NONE",REPT(" ",17),REPT(" ",15-LEN(K34))&amp;K34))&amp;IF(OR(K34="TERM",K34="NONE"),"",IF(L34="TERM","",IF(L34="",",",", ")))</f>
        <v>        KC_DOWN, </v>
      </c>
      <c r="L60" s="42" t="str">
        <f aca="false">IF(L34="TERM","",IF(L34="NONE",REPT(" ",17),REPT(" ",15-LEN(L34))&amp;L34))&amp;IF(OR(L34="TERM",L34="NONE"),"",IF(M34="TERM","",IF(M34="",",",", ")))</f>
        <v>          KC_UP, </v>
      </c>
      <c r="M60" s="42" t="str">
        <f aca="false">IF(M34="TERM","",IF(M34="NONE",REPT(" ",17),REPT(" ",15-LEN(M34))&amp;M34))&amp;IF(OR(M34="TERM",M34="NONE"),"",IF(N34="TERM","",IF(N34="",",",", ")))</f>
        <v>        KC_RGHT, </v>
      </c>
      <c r="N60" s="42" t="str">
        <f aca="false">IF(N34="TERM","",IF(N34="NONE",REPT(" ",17),REPT(" ",15-LEN(N34))&amp;N34))&amp;IF(OR(N34="TERM",N34="NONE"),"",IF(O34="TERM","",IF(O34="",",",", ")))</f>
        <v>         KC_EQL, </v>
      </c>
      <c r="O60" s="44" t="str">
        <f aca="false">IF(O34="TERM","",IF(O34="NONE",REPT(" ",17),REPT(" ",15-LEN(O34))&amp;O34))&amp;IF(OR(O34="TERM",O34="NONE"),"",IF(P34="TERM","",IF(P34="",",",", ")))</f>
        <v>        KC_MINS,</v>
      </c>
    </row>
    <row r="61" customFormat="false" ht="21" hidden="false" customHeight="true" outlineLevel="0" collapsed="false">
      <c r="A61" s="30"/>
      <c r="B61" s="42" t="str">
        <f aca="false">IF(B35="TERM","",IF(B35="NONE",REPT(" ",17),REPT(" ",15-LEN(B35))&amp;B35))&amp;IF(OR(B35="TERM",B35="NONE"),"",IF(C35="TERM","",IF(C35="",",",", ")))</f>
        <v>        _______, </v>
      </c>
      <c r="C61" s="42" t="str">
        <f aca="false">IF(C35="TERM","",IF(C35="NONE",REPT(" ",17),REPT(" ",15-LEN(C35))&amp;C35))&amp;IF(OR(C35="TERM",C35="NONE"),"",IF(D35="TERM","",IF(D35="",",",", ")))</f>
        <v>        KC_LALT, </v>
      </c>
      <c r="D61" s="42" t="str">
        <f aca="false">IF(D35="TERM","",IF(D35="NONE",REPT(" ",17),REPT(" ",15-LEN(D35))&amp;D35))&amp;IF(OR(D35="TERM",D35="NONE"),"",IF(E35="TERM","",IF(E35="",",",", ")))</f>
        <v>        XXXXXXX, </v>
      </c>
      <c r="E61" s="42" t="str">
        <f aca="false">IF(E35="TERM","",IF(E35="NONE",REPT(" ",17),REPT(" ",15-LEN(E35))&amp;E35))&amp;IF(OR(E35="TERM",E35="NONE"),"",IF(F35="TERM","",IF(F35="",",",", ")))</f>
        <v>        XXXXXXX, </v>
      </c>
      <c r="F61" s="42" t="str">
        <f aca="false">IF(F35="TERM","",IF(F35="NONE",REPT(" ",17),REPT(" ",15-LEN(F35))&amp;F35))&amp;IF(OR(F35="TERM",F35="NONE"),"",IF(G35="TERM","",IF(G35="",",",", ")))</f>
        <v>        KC_INT5, </v>
      </c>
      <c r="G61" s="42" t="str">
        <f aca="false">IF(G35="TERM","",IF(G35="NONE",REPT(" ",17),REPT(" ",15-LEN(G35))&amp;G35))&amp;IF(OR(G35="TERM",G35="NONE"),"",IF(H35="TERM","",IF(H35="",",",", ")))</f>
        <v>        KC_BSPC, </v>
      </c>
      <c r="H61" s="43" t="str">
        <f aca="false">IF(H35="TERM","",IF(H35="NONE",REPT(" ",17),REPT(" ",15-LEN(H35))&amp;H35))&amp;IF(OR(H35="TERM",H35="NONE"),"",IF(I35="TERM","",IF(I35="",",",", ")))</f>
        <v>                 </v>
      </c>
      <c r="I61" s="43" t="str">
        <f aca="false">IF(I35="TERM","",IF(I35="NONE",REPT(" ",17),REPT(" ",15-LEN(I35))&amp;I35))&amp;IF(OR(I35="TERM",I35="NONE"),"",IF(J35="TERM","",IF(J35="",",",", ")))</f>
        <v>                 </v>
      </c>
      <c r="J61" s="42" t="str">
        <f aca="false">IF(J35="TERM","",IF(J35="NONE",REPT(" ",17),REPT(" ",15-LEN(J35))&amp;J35))&amp;IF(OR(J35="TERM",J35="NONE"),"",IF(K35="TERM","",IF(K35="",",",", ")))</f>
        <v>         KC_DEL, </v>
      </c>
      <c r="K61" s="42" t="str">
        <f aca="false">IF(K35="TERM","",IF(K35="NONE",REPT(" ",17),REPT(" ",15-LEN(K35))&amp;K35))&amp;IF(OR(K35="TERM",K35="NONE"),"",IF(L35="TERM","",IF(L35="",",",", ")))</f>
        <v>        KC_INT4, </v>
      </c>
      <c r="L61" s="42" t="str">
        <f aca="false">IF(L35="TERM","",IF(L35="NONE",REPT(" ",17),REPT(" ",15-LEN(L35))&amp;L35))&amp;IF(OR(L35="TERM",L35="NONE"),"",IF(M35="TERM","",IF(M35="",",",", ")))</f>
        <v>        KC_RBRC, </v>
      </c>
      <c r="M61" s="42" t="str">
        <f aca="false">IF(M35="TERM","",IF(M35="NONE",REPT(" ",17),REPT(" ",15-LEN(M35))&amp;M35))&amp;IF(OR(M35="TERM",M35="NONE"),"",IF(N35="TERM","",IF(N35="",",",", ")))</f>
        <v>        KC_BSLS, </v>
      </c>
      <c r="N61" s="42" t="str">
        <f aca="false">IF(N35="TERM","",IF(N35="NONE",REPT(" ",17),REPT(" ",15-LEN(N35))&amp;N35))&amp;IF(OR(N35="TERM",N35="NONE"),"",IF(O35="TERM","",IF(O35="",",",", ")))</f>
        <v>      S(KC_EQL), </v>
      </c>
      <c r="O61" s="44" t="str">
        <f aca="false">IF(O35="TERM","",IF(O35="NONE",REPT(" ",17),REPT(" ",15-LEN(O35))&amp;O35))&amp;IF(OR(O35="TERM",O35="NONE"),"",IF(P35="TERM","",IF(P35="",",",", ")))</f>
        <v>     S(KC_INT3),</v>
      </c>
    </row>
    <row r="62" customFormat="false" ht="21" hidden="false" customHeight="true" outlineLevel="0" collapsed="false">
      <c r="A62" s="34"/>
      <c r="B62" s="45" t="str">
        <f aca="false">IF(B36="TERM","",IF(B36="NONE",REPT(" ",17),REPT(" ",15-LEN(B36))&amp;B36))&amp;IF(OR(B36="TERM",B36="NONE"),"",IF(C36="TERM","",IF(C36="",",",", ")))</f>
        <v>                 </v>
      </c>
      <c r="C62" s="45" t="str">
        <f aca="false">IF(C36="TERM","",IF(C36="NONE",REPT(" ",17),REPT(" ",15-LEN(C36))&amp;C36))&amp;IF(OR(C36="TERM",C36="NONE"),"",IF(D36="TERM","",IF(D36="",",",", ")))</f>
        <v>                 </v>
      </c>
      <c r="D62" s="45" t="str">
        <f aca="false">IF(D36="TERM","",IF(D36="NONE",REPT(" ",17),REPT(" ",15-LEN(D36))&amp;D36))&amp;IF(OR(D36="TERM",D36="NONE"),"",IF(E36="TERM","",IF(E36="",",",", ")))</f>
        <v>                 </v>
      </c>
      <c r="E62" s="45" t="str">
        <f aca="false">IF(E36="TERM","",IF(E36="NONE",REPT(" ",17),REPT(" ",15-LEN(E36))&amp;E36))&amp;IF(OR(E36="TERM",E36="NONE"),"",IF(F36="TERM","",IF(F36="",",",", ")))</f>
        <v>                 </v>
      </c>
      <c r="F62" s="46" t="str">
        <f aca="false">IF(F36="TERM","",IF(F36="NONE",REPT(" ",17),REPT(" ",15-LEN(F36))&amp;F36))&amp;IF(OR(F36="TERM",F36="NONE"),"",IF(G36="TERM","",IF(G36="",",",", ")))</f>
        <v>        _______, </v>
      </c>
      <c r="G62" s="46" t="str">
        <f aca="false">IF(G36="TERM","",IF(G36="NONE",REPT(" ",17),REPT(" ",15-LEN(G36))&amp;G36))&amp;IF(OR(G36="TERM",G36="NONE"),"",IF(H36="TERM","",IF(H36="",",",", ")))</f>
        <v>        _______, </v>
      </c>
      <c r="H62" s="46" t="str">
        <f aca="false">IF(H36="TERM","",IF(H36="NONE",REPT(" ",17),REPT(" ",15-LEN(H36))&amp;H36))&amp;IF(OR(H36="TERM",H36="NONE"),"",IF(I36="TERM","",IF(I36="",",",", ")))</f>
        <v>        _______, </v>
      </c>
      <c r="I62" s="46" t="str">
        <f aca="false">IF(I36="TERM","",IF(I36="NONE",REPT(" ",17),REPT(" ",15-LEN(I36))&amp;I36))&amp;IF(OR(I36="TERM",I36="NONE"),"",IF(J36="TERM","",IF(J36="",",",", ")))</f>
        <v>        _______, </v>
      </c>
      <c r="J62" s="46" t="str">
        <f aca="false">IF(J36="TERM","",IF(J36="NONE",REPT(" ",17),REPT(" ",15-LEN(J36))&amp;J36))&amp;IF(OR(J36="TERM",J36="NONE"),"",IF(K36="TERM","",IF(K36="",",",", ")))</f>
        <v>        _______, </v>
      </c>
      <c r="K62" s="46" t="str">
        <f aca="false">IF(K36="TERM","",IF(K36="NONE",REPT(" ",17),REPT(" ",15-LEN(K36))&amp;K36))&amp;IF(OR(K36="TERM",K36="NONE"),"",IF(L36="TERM","",IF(L36="",",",", ")))</f>
        <v>        _______</v>
      </c>
      <c r="L62" s="45" t="str">
        <f aca="false">IF(L36="TERM","",IF(L36="NONE",REPT(" ",17),REPT(" ",15-LEN(L36))&amp;L36))&amp;IF(OR(L36="TERM",L36="NONE"),"",IF(M36="TERM","",IF(M36="",",",", ")))</f>
        <v/>
      </c>
      <c r="M62" s="45" t="str">
        <f aca="false">IF(M36="TERM","",IF(M36="NONE",REPT(" ",17),REPT(" ",15-LEN(M36))&amp;M36))&amp;IF(OR(M36="TERM",M36="NONE"),"",IF(N36="TERM","",IF(N36="",",",", ")))</f>
        <v/>
      </c>
      <c r="N62" s="45" t="str">
        <f aca="false">IF(N36="TERM","",IF(N36="NONE",REPT(" ",17),REPT(" ",15-LEN(N36))&amp;N36))&amp;IF(OR(N36="TERM",N36="NONE"),"",IF(O36="TERM","",IF(O36="",",",", ")))</f>
        <v/>
      </c>
      <c r="O62" s="47" t="str">
        <f aca="false">IF(O36="TERM","",IF(O36="NONE",REPT(" ",17),REPT(" ",15-LEN(O36))&amp;O36))&amp;IF(OR(O36="TERM",O36="NONE"),"",IF(P36="TERM","",IF(P36="",",",", ")))</f>
        <v/>
      </c>
    </row>
    <row r="63" customFormat="false" ht="21" hidden="false" customHeight="true" outlineLevel="0" collapsed="false">
      <c r="A63" s="26" t="s">
        <v>318</v>
      </c>
      <c r="B63" s="39" t="str">
        <f aca="false">IF(B37="TERM","",IF(B37="NONE",REPT(" ",17),REPT(" ",15-LEN(B37))&amp;B37))&amp;IF(OR(B37="TERM",B37="NONE"),"",IF(C37="TERM","",IF(C37="",",",", ")))</f>
        <v>          KC_F1, </v>
      </c>
      <c r="C63" s="39" t="str">
        <f aca="false">IF(C37="TERM","",IF(C37="NONE",REPT(" ",17),REPT(" ",15-LEN(C37))&amp;C37))&amp;IF(OR(C37="TERM",C37="NONE"),"",IF(D37="TERM","",IF(D37="",",",", ")))</f>
        <v>          KC_F2, </v>
      </c>
      <c r="D63" s="39" t="str">
        <f aca="false">IF(D37="TERM","",IF(D37="NONE",REPT(" ",17),REPT(" ",15-LEN(D37))&amp;D37))&amp;IF(OR(D37="TERM",D37="NONE"),"",IF(E37="TERM","",IF(E37="",",",", ")))</f>
        <v>          KC_F3, </v>
      </c>
      <c r="E63" s="39" t="str">
        <f aca="false">IF(E37="TERM","",IF(E37="NONE",REPT(" ",17),REPT(" ",15-LEN(E37))&amp;E37))&amp;IF(OR(E37="TERM",E37="NONE"),"",IF(F37="TERM","",IF(F37="",",",", ")))</f>
        <v>          KC_F4, </v>
      </c>
      <c r="F63" s="39" t="str">
        <f aca="false">IF(F37="TERM","",IF(F37="NONE",REPT(" ",17),REPT(" ",15-LEN(F37))&amp;F37))&amp;IF(OR(F37="TERM",F37="NONE"),"",IF(G37="TERM","",IF(G37="",",",", ")))</f>
        <v>          KC_F5, </v>
      </c>
      <c r="G63" s="39" t="str">
        <f aca="false">IF(G37="TERM","",IF(G37="NONE",REPT(" ",17),REPT(" ",15-LEN(G37))&amp;G37))&amp;IF(OR(G37="TERM",G37="NONE"),"",IF(H37="TERM","",IF(H37="",",",", ")))</f>
        <v>          KC_F6, </v>
      </c>
      <c r="H63" s="40" t="str">
        <f aca="false">IF(H37="TERM","",IF(H37="NONE",REPT(" ",17),REPT(" ",15-LEN(H37))&amp;H37))&amp;IF(OR(H37="TERM",H37="NONE"),"",IF(I37="TERM","",IF(I37="",",",", ")))</f>
        <v>                 </v>
      </c>
      <c r="I63" s="40" t="str">
        <f aca="false">IF(I37="TERM","",IF(I37="NONE",REPT(" ",17),REPT(" ",15-LEN(I37))&amp;I37))&amp;IF(OR(I37="TERM",I37="NONE"),"",IF(J37="TERM","",IF(J37="",",",", ")))</f>
        <v>                 </v>
      </c>
      <c r="J63" s="39" t="str">
        <f aca="false">IF(J37="TERM","",IF(J37="NONE",REPT(" ",17),REPT(" ",15-LEN(J37))&amp;J37))&amp;IF(OR(J37="TERM",J37="NONE"),"",IF(K37="TERM","",IF(K37="",",",", ")))</f>
        <v>          KC_F7, </v>
      </c>
      <c r="K63" s="39" t="str">
        <f aca="false">IF(K37="TERM","",IF(K37="NONE",REPT(" ",17),REPT(" ",15-LEN(K37))&amp;K37))&amp;IF(OR(K37="TERM",K37="NONE"),"",IF(L37="TERM","",IF(L37="",",",", ")))</f>
        <v>          KC_F8, </v>
      </c>
      <c r="L63" s="39" t="str">
        <f aca="false">IF(L37="TERM","",IF(L37="NONE",REPT(" ",17),REPT(" ",15-LEN(L37))&amp;L37))&amp;IF(OR(L37="TERM",L37="NONE"),"",IF(M37="TERM","",IF(M37="",",",", ")))</f>
        <v>          KC_F9, </v>
      </c>
      <c r="M63" s="39" t="str">
        <f aca="false">IF(M37="TERM","",IF(M37="NONE",REPT(" ",17),REPT(" ",15-LEN(M37))&amp;M37))&amp;IF(OR(M37="TERM",M37="NONE"),"",IF(N37="TERM","",IF(N37="",",",", ")))</f>
        <v>         KC_F10, </v>
      </c>
      <c r="N63" s="39" t="str">
        <f aca="false">IF(N37="TERM","",IF(N37="NONE",REPT(" ",17),REPT(" ",15-LEN(N37))&amp;N37))&amp;IF(OR(N37="TERM",N37="NONE"),"",IF(O37="TERM","",IF(O37="",",",", ")))</f>
        <v>         KC_F11, </v>
      </c>
      <c r="O63" s="41" t="str">
        <f aca="false">IF(O37="TERM","",IF(O37="NONE",REPT(" ",17),REPT(" ",15-LEN(O37))&amp;O37))&amp;IF(OR(O37="TERM",O37="NONE"),"",IF(P37="TERM","",IF(P37="",",",", ")))</f>
        <v>         KC_F12,</v>
      </c>
    </row>
    <row r="64" customFormat="false" ht="21" hidden="false" customHeight="true" outlineLevel="0" collapsed="false">
      <c r="A64" s="30"/>
      <c r="B64" s="42" t="str">
        <f aca="false">IF(B38="TERM","",IF(B38="NONE",REPT(" ",17),REPT(" ",15-LEN(B38))&amp;B38))&amp;IF(OR(B38="TERM",B38="NONE"),"",IF(C38="TERM","",IF(C38="",",",", ")))</f>
        <v>         KC_GRV, </v>
      </c>
      <c r="C64" s="42" t="str">
        <f aca="false">IF(C38="TERM","",IF(C38="NONE",REPT(" ",17),REPT(" ",15-LEN(C38))&amp;C38))&amp;IF(OR(C38="TERM",C38="NONE"),"",IF(D38="TERM","",IF(D38="",",",", ")))</f>
        <v>           KC_1, </v>
      </c>
      <c r="D64" s="42" t="str">
        <f aca="false">IF(D38="TERM","",IF(D38="NONE",REPT(" ",17),REPT(" ",15-LEN(D38))&amp;D38))&amp;IF(OR(D38="TERM",D38="NONE"),"",IF(E38="TERM","",IF(E38="",",",", ")))</f>
        <v>           KC_2, </v>
      </c>
      <c r="E64" s="42" t="str">
        <f aca="false">IF(E38="TERM","",IF(E38="NONE",REPT(" ",17),REPT(" ",15-LEN(E38))&amp;E38))&amp;IF(OR(E38="TERM",E38="NONE"),"",IF(F38="TERM","",IF(F38="",",",", ")))</f>
        <v>           KC_3, </v>
      </c>
      <c r="F64" s="42" t="str">
        <f aca="false">IF(F38="TERM","",IF(F38="NONE",REPT(" ",17),REPT(" ",15-LEN(F38))&amp;F38))&amp;IF(OR(F38="TERM",F38="NONE"),"",IF(G38="TERM","",IF(G38="",",",", ")))</f>
        <v>           KC_4, </v>
      </c>
      <c r="G64" s="42" t="str">
        <f aca="false">IF(G38="TERM","",IF(G38="NONE",REPT(" ",17),REPT(" ",15-LEN(G38))&amp;G38))&amp;IF(OR(G38="TERM",G38="NONE"),"",IF(H38="TERM","",IF(H38="",",",", ")))</f>
        <v>           KC_5, </v>
      </c>
      <c r="H64" s="43" t="str">
        <f aca="false">IF(H38="TERM","",IF(H38="NONE",REPT(" ",17),REPT(" ",15-LEN(H38))&amp;H38))&amp;IF(OR(H38="TERM",H38="NONE"),"",IF(I38="TERM","",IF(I38="",",",", ")))</f>
        <v>                 </v>
      </c>
      <c r="I64" s="43" t="str">
        <f aca="false">IF(I38="TERM","",IF(I38="NONE",REPT(" ",17),REPT(" ",15-LEN(I38))&amp;I38))&amp;IF(OR(I38="TERM",I38="NONE"),"",IF(J38="TERM","",IF(J38="",",",", ")))</f>
        <v>                 </v>
      </c>
      <c r="J64" s="42" t="str">
        <f aca="false">IF(J38="TERM","",IF(J38="NONE",REPT(" ",17),REPT(" ",15-LEN(J38))&amp;J38))&amp;IF(OR(J38="TERM",J38="NONE"),"",IF(K38="TERM","",IF(K38="",",",", ")))</f>
        <v>           KC_6, </v>
      </c>
      <c r="K64" s="42" t="str">
        <f aca="false">IF(K38="TERM","",IF(K38="NONE",REPT(" ",17),REPT(" ",15-LEN(K38))&amp;K38))&amp;IF(OR(K38="TERM",K38="NONE"),"",IF(L38="TERM","",IF(L38="",",",", ")))</f>
        <v>           KC_7, </v>
      </c>
      <c r="L64" s="42" t="str">
        <f aca="false">IF(L38="TERM","",IF(L38="NONE",REPT(" ",17),REPT(" ",15-LEN(L38))&amp;L38))&amp;IF(OR(L38="TERM",L38="NONE"),"",IF(M38="TERM","",IF(M38="",",",", ")))</f>
        <v>           KC_8, </v>
      </c>
      <c r="M64" s="42" t="str">
        <f aca="false">IF(M38="TERM","",IF(M38="NONE",REPT(" ",17),REPT(" ",15-LEN(M38))&amp;M38))&amp;IF(OR(M38="TERM",M38="NONE"),"",IF(N38="TERM","",IF(N38="",",",", ")))</f>
        <v>           KC_9, </v>
      </c>
      <c r="N64" s="42" t="str">
        <f aca="false">IF(N38="TERM","",IF(N38="NONE",REPT(" ",17),REPT(" ",15-LEN(N38))&amp;N38))&amp;IF(OR(N38="TERM",N38="NONE"),"",IF(O38="TERM","",IF(O38="",",",", ")))</f>
        <v>           KC_0, </v>
      </c>
      <c r="O64" s="44" t="str">
        <f aca="false">IF(O38="TERM","",IF(O38="NONE",REPT(" ",17),REPT(" ",15-LEN(O38))&amp;O38))&amp;IF(OR(O38="TERM",O38="NONE"),"",IF(P38="TERM","",IF(P38="",",",", ")))</f>
        <v>        _______,</v>
      </c>
    </row>
    <row r="65" customFormat="false" ht="21" hidden="false" customHeight="true" outlineLevel="0" collapsed="false">
      <c r="A65" s="30"/>
      <c r="B65" s="42" t="str">
        <f aca="false">IF(B39="TERM","",IF(B39="NONE",REPT(" ",17),REPT(" ",15-LEN(B39))&amp;B39))&amp;IF(OR(B39="TERM",B39="NONE"),"",IF(C39="TERM","",IF(C39="",",",", ")))</f>
        <v>        _______, </v>
      </c>
      <c r="C65" s="42" t="str">
        <f aca="false">IF(C39="TERM","",IF(C39="NONE",REPT(" ",17),REPT(" ",15-LEN(C39))&amp;C39))&amp;IF(OR(C39="TERM",C39="NONE"),"",IF(D39="TERM","",IF(D39="",",",", ")))</f>
        <v>        _______, </v>
      </c>
      <c r="D65" s="42" t="str">
        <f aca="false">IF(D39="TERM","",IF(D39="NONE",REPT(" ",17),REPT(" ",15-LEN(D39))&amp;D39))&amp;IF(OR(D39="TERM",D39="NONE"),"",IF(E39="TERM","",IF(E39="",",",", ")))</f>
        <v>        MS_WHLL, </v>
      </c>
      <c r="E65" s="42" t="str">
        <f aca="false">IF(E39="TERM","",IF(E39="NONE",REPT(" ",17),REPT(" ",15-LEN(E39))&amp;E39))&amp;IF(OR(E39="TERM",E39="NONE"),"",IF(F39="TERM","",IF(F39="",",",", ")))</f>
        <v>        MS_WHLR, </v>
      </c>
      <c r="F65" s="42" t="str">
        <f aca="false">IF(F39="TERM","",IF(F39="NONE",REPT(" ",17),REPT(" ",15-LEN(F39))&amp;F39))&amp;IF(OR(F39="TERM",F39="NONE"),"",IF(G39="TERM","",IF(G39="",",",", ")))</f>
        <v>        _______, </v>
      </c>
      <c r="G65" s="42" t="str">
        <f aca="false">IF(G39="TERM","",IF(G39="NONE",REPT(" ",17),REPT(" ",15-LEN(G39))&amp;G39))&amp;IF(OR(G39="TERM",G39="NONE"),"",IF(H39="TERM","",IF(H39="",",",", ")))</f>
        <v>        _______, </v>
      </c>
      <c r="H65" s="43" t="str">
        <f aca="false">IF(H39="TERM","",IF(H39="NONE",REPT(" ",17),REPT(" ",15-LEN(H39))&amp;H39))&amp;IF(OR(H39="TERM",H39="NONE"),"",IF(I39="TERM","",IF(I39="",",",", ")))</f>
        <v>                 </v>
      </c>
      <c r="I65" s="43" t="str">
        <f aca="false">IF(I39="TERM","",IF(I39="NONE",REPT(" ",17),REPT(" ",15-LEN(I39))&amp;I39))&amp;IF(OR(I39="TERM",I39="NONE"),"",IF(J39="TERM","",IF(J39="",",",", ")))</f>
        <v>                 </v>
      </c>
      <c r="J65" s="42" t="str">
        <f aca="false">IF(J39="TERM","",IF(J39="NONE",REPT(" ",17),REPT(" ",15-LEN(J39))&amp;J39))&amp;IF(OR(J39="TERM",J39="NONE"),"",IF(K39="TERM","",IF(K39="",",",", ")))</f>
        <v>        _______, </v>
      </c>
      <c r="K65" s="42" t="str">
        <f aca="false">IF(K39="TERM","",IF(K39="NONE",REPT(" ",17),REPT(" ",15-LEN(K39))&amp;K39))&amp;IF(OR(K39="TERM",K39="NONE"),"",IF(L39="TERM","",IF(L39="",",",", ")))</f>
        <v>        _______, </v>
      </c>
      <c r="L65" s="42" t="str">
        <f aca="false">IF(L39="TERM","",IF(L39="NONE",REPT(" ",17),REPT(" ",15-LEN(L39))&amp;L39))&amp;IF(OR(L39="TERM",L39="NONE"),"",IF(M39="TERM","",IF(M39="",",",", ")))</f>
        <v>        KC_COMM, </v>
      </c>
      <c r="M65" s="42" t="str">
        <f aca="false">IF(M39="TERM","",IF(M39="NONE",REPT(" ",17),REPT(" ",15-LEN(M39))&amp;M39))&amp;IF(OR(M39="TERM",M39="NONE"),"",IF(N39="TERM","",IF(N39="",",",", ")))</f>
        <v>         KC_DOT, </v>
      </c>
      <c r="N65" s="42" t="str">
        <f aca="false">IF(N39="TERM","",IF(N39="NONE",REPT(" ",17),REPT(" ",15-LEN(N39))&amp;N39))&amp;IF(OR(N39="TERM",N39="NONE"),"",IF(O39="TERM","",IF(O39="",",",", ")))</f>
        <v>        KC_SLSH, </v>
      </c>
      <c r="O65" s="44" t="str">
        <f aca="false">IF(O39="TERM","",IF(O39="NONE",REPT(" ",17),REPT(" ",15-LEN(O39))&amp;O39))&amp;IF(OR(O39="TERM",O39="NONE"),"",IF(P39="TERM","",IF(P39="",",",", ")))</f>
        <v>        KC_INT1,</v>
      </c>
    </row>
    <row r="66" customFormat="false" ht="21" hidden="false" customHeight="true" outlineLevel="0" collapsed="false">
      <c r="A66" s="34"/>
      <c r="B66" s="45" t="str">
        <f aca="false">IF(B40="TERM","",IF(B40="NONE",REPT(" ",17),REPT(" ",15-LEN(B40))&amp;B40))&amp;IF(OR(B40="TERM",B40="NONE"),"",IF(C40="TERM","",IF(C40="",",",", ")))</f>
        <v>                 </v>
      </c>
      <c r="C66" s="45" t="str">
        <f aca="false">IF(C40="TERM","",IF(C40="NONE",REPT(" ",17),REPT(" ",15-LEN(C40))&amp;C40))&amp;IF(OR(C40="TERM",C40="NONE"),"",IF(D40="TERM","",IF(D40="",",",", ")))</f>
        <v>                 </v>
      </c>
      <c r="D66" s="45" t="str">
        <f aca="false">IF(D40="TERM","",IF(D40="NONE",REPT(" ",17),REPT(" ",15-LEN(D40))&amp;D40))&amp;IF(OR(D40="TERM",D40="NONE"),"",IF(E40="TERM","",IF(E40="",",",", ")))</f>
        <v>                 </v>
      </c>
      <c r="E66" s="45" t="str">
        <f aca="false">IF(E40="TERM","",IF(E40="NONE",REPT(" ",17),REPT(" ",15-LEN(E40))&amp;E40))&amp;IF(OR(E40="TERM",E40="NONE"),"",IF(F40="TERM","",IF(F40="",",",", ")))</f>
        <v>                 </v>
      </c>
      <c r="F66" s="46" t="str">
        <f aca="false">IF(F40="TERM","",IF(F40="NONE",REPT(" ",17),REPT(" ",15-LEN(F40))&amp;F40))&amp;IF(OR(F40="TERM",F40="NONE"),"",IF(G40="TERM","",IF(G40="",",",", ")))</f>
        <v>        _______, </v>
      </c>
      <c r="G66" s="46" t="str">
        <f aca="false">IF(G40="TERM","",IF(G40="NONE",REPT(" ",17),REPT(" ",15-LEN(G40))&amp;G40))&amp;IF(OR(G40="TERM",G40="NONE"),"",IF(H40="TERM","",IF(H40="",",",", ")))</f>
        <v>        _______, </v>
      </c>
      <c r="H66" s="46" t="str">
        <f aca="false">IF(H40="TERM","",IF(H40="NONE",REPT(" ",17),REPT(" ",15-LEN(H40))&amp;H40))&amp;IF(OR(H40="TERM",H40="NONE"),"",IF(I40="TERM","",IF(I40="",",",", ")))</f>
        <v>        _______, </v>
      </c>
      <c r="I66" s="46" t="str">
        <f aca="false">IF(I40="TERM","",IF(I40="NONE",REPT(" ",17),REPT(" ",15-LEN(I40))&amp;I40))&amp;IF(OR(I40="TERM",I40="NONE"),"",IF(J40="TERM","",IF(J40="",",",", ")))</f>
        <v>        _______, </v>
      </c>
      <c r="J66" s="46" t="str">
        <f aca="false">IF(J40="TERM","",IF(J40="NONE",REPT(" ",17),REPT(" ",15-LEN(J40))&amp;J40))&amp;IF(OR(J40="TERM",J40="NONE"),"",IF(K40="TERM","",IF(K40="",",",", ")))</f>
        <v>        _______, </v>
      </c>
      <c r="K66" s="46" t="str">
        <f aca="false">IF(K40="TERM","",IF(K40="NONE",REPT(" ",17),REPT(" ",15-LEN(K40))&amp;K40))&amp;IF(OR(K40="TERM",K40="NONE"),"",IF(L40="TERM","",IF(L40="",",",", ")))</f>
        <v>        _______</v>
      </c>
      <c r="L66" s="45" t="str">
        <f aca="false">IF(L40="TERM","",IF(L40="NONE",REPT(" ",17),REPT(" ",15-LEN(L40))&amp;L40))&amp;IF(OR(L40="TERM",L40="NONE"),"",IF(M40="TERM","",IF(M40="",",",", ")))</f>
        <v/>
      </c>
      <c r="M66" s="45" t="str">
        <f aca="false">IF(M40="TERM","",IF(M40="NONE",REPT(" ",17),REPT(" ",15-LEN(M40))&amp;M40))&amp;IF(OR(M40="TERM",M40="NONE"),"",IF(N40="TERM","",IF(N40="",",",", ")))</f>
        <v/>
      </c>
      <c r="N66" s="45" t="str">
        <f aca="false">IF(N40="TERM","",IF(N40="NONE",REPT(" ",17),REPT(" ",15-LEN(N40))&amp;N40))&amp;IF(OR(N40="TERM",N40="NONE"),"",IF(O40="TERM","",IF(O40="",",",", ")))</f>
        <v/>
      </c>
      <c r="O66" s="47" t="str">
        <f aca="false">IF(O40="TERM","",IF(O40="NONE",REPT(" ",17),REPT(" ",15-LEN(O40))&amp;O40))&amp;IF(OR(O40="TERM",O40="NONE"),"",IF(P40="TERM","",IF(P40="",",",", ")))</f>
        <v/>
      </c>
    </row>
    <row r="67" customFormat="false" ht="21" hidden="false" customHeight="true" outlineLevel="0" collapsed="false">
      <c r="A67" s="26" t="s">
        <v>319</v>
      </c>
      <c r="B67" s="39" t="str">
        <f aca="false">IF(B41="TERM","",IF(B41="NONE",REPT(" ",17),REPT(" ",15-LEN(B41))&amp;B41))&amp;IF(OR(B41="TERM",B41="NONE"),"",IF(C41="TERM","",IF(C41="",",",", ")))</f>
        <v>         KC_ESC, </v>
      </c>
      <c r="C67" s="39" t="str">
        <f aca="false">IF(C41="TERM","",IF(C41="NONE",REPT(" ",17),REPT(" ",15-LEN(C41))&amp;C41))&amp;IF(OR(C41="TERM",C41="NONE"),"",IF(D41="TERM","",IF(D41="",",",", ")))</f>
        <v>           KC_Q, </v>
      </c>
      <c r="D67" s="39" t="str">
        <f aca="false">IF(D41="TERM","",IF(D41="NONE",REPT(" ",17),REPT(" ",15-LEN(D41))&amp;D41))&amp;IF(OR(D41="TERM",D41="NONE"),"",IF(E41="TERM","",IF(E41="",",",", ")))</f>
        <v>           KC_W, </v>
      </c>
      <c r="E67" s="39" t="str">
        <f aca="false">IF(E41="TERM","",IF(E41="NONE",REPT(" ",17),REPT(" ",15-LEN(E41))&amp;E41))&amp;IF(OR(E41="TERM",E41="NONE"),"",IF(F41="TERM","",IF(F41="",",",", ")))</f>
        <v>           KC_E, </v>
      </c>
      <c r="F67" s="39" t="str">
        <f aca="false">IF(F41="TERM","",IF(F41="NONE",REPT(" ",17),REPT(" ",15-LEN(F41))&amp;F41))&amp;IF(OR(F41="TERM",F41="NONE"),"",IF(G41="TERM","",IF(G41="",",",", ")))</f>
        <v>           KC_R, </v>
      </c>
      <c r="G67" s="39" t="str">
        <f aca="false">IF(G41="TERM","",IF(G41="NONE",REPT(" ",17),REPT(" ",15-LEN(G41))&amp;G41))&amp;IF(OR(G41="TERM",G41="NONE"),"",IF(H41="TERM","",IF(H41="",",",", ")))</f>
        <v>           KC_T, </v>
      </c>
      <c r="H67" s="40" t="str">
        <f aca="false">IF(H41="TERM","",IF(H41="NONE",REPT(" ",17),REPT(" ",15-LEN(H41))&amp;H41))&amp;IF(OR(H41="TERM",H41="NONE"),"",IF(I41="TERM","",IF(I41="",",",", ")))</f>
        <v>                 </v>
      </c>
      <c r="I67" s="40" t="str">
        <f aca="false">IF(I41="TERM","",IF(I41="NONE",REPT(" ",17),REPT(" ",15-LEN(I41))&amp;I41))&amp;IF(OR(I41="TERM",I41="NONE"),"",IF(J41="TERM","",IF(J41="",",",", ")))</f>
        <v>                 </v>
      </c>
      <c r="J67" s="39" t="str">
        <f aca="false">IF(J41="TERM","",IF(J41="NONE",REPT(" ",17),REPT(" ",15-LEN(J41))&amp;J41))&amp;IF(OR(J41="TERM",J41="NONE"),"",IF(K41="TERM","",IF(K41="",",",", ")))</f>
        <v>           KC_Y, </v>
      </c>
      <c r="K67" s="39" t="str">
        <f aca="false">IF(K41="TERM","",IF(K41="NONE",REPT(" ",17),REPT(" ",15-LEN(K41))&amp;K41))&amp;IF(OR(K41="TERM",K41="NONE"),"",IF(L41="TERM","",IF(L41="",",",", ")))</f>
        <v>           KC_U, </v>
      </c>
      <c r="L67" s="39" t="str">
        <f aca="false">IF(L41="TERM","",IF(L41="NONE",REPT(" ",17),REPT(" ",15-LEN(L41))&amp;L41))&amp;IF(OR(L41="TERM",L41="NONE"),"",IF(M41="TERM","",IF(M41="",",",", ")))</f>
        <v>           KC_I, </v>
      </c>
      <c r="M67" s="39" t="str">
        <f aca="false">IF(M41="TERM","",IF(M41="NONE",REPT(" ",17),REPT(" ",15-LEN(M41))&amp;M41))&amp;IF(OR(M41="TERM",M41="NONE"),"",IF(N41="TERM","",IF(N41="",",",", ")))</f>
        <v>           KC_O, </v>
      </c>
      <c r="N67" s="39" t="str">
        <f aca="false">IF(N41="TERM","",IF(N41="NONE",REPT(" ",17),REPT(" ",15-LEN(N41))&amp;N41))&amp;IF(OR(N41="TERM",N41="NONE"),"",IF(O41="TERM","",IF(O41="",",",", ")))</f>
        <v>           KC_P, </v>
      </c>
      <c r="O67" s="41" t="str">
        <f aca="false">IF(O41="TERM","",IF(O41="NONE",REPT(" ",17),REPT(" ",15-LEN(O41))&amp;O41))&amp;IF(OR(O41="TERM",O41="NONE"),"",IF(P41="TERM","",IF(P41="",",",", ")))</f>
        <v>        KC_LBRC,</v>
      </c>
    </row>
    <row r="68" customFormat="false" ht="21" hidden="false" customHeight="true" outlineLevel="0" collapsed="false">
      <c r="A68" s="30"/>
      <c r="B68" s="42" t="str">
        <f aca="false">IF(B42="TERM","",IF(B42="NONE",REPT(" ",17),REPT(" ",15-LEN(B42))&amp;B42))&amp;IF(OR(B42="TERM",B42="NONE"),"",IF(C42="TERM","",IF(C42="",",",", ")))</f>
        <v>         KC_TAB, </v>
      </c>
      <c r="C68" s="42" t="str">
        <f aca="false">IF(C42="TERM","",IF(C42="NONE",REPT(" ",17),REPT(" ",15-LEN(C42))&amp;C42))&amp;IF(OR(C42="TERM",C42="NONE"),"",IF(D42="TERM","",IF(D42="",",",", ")))</f>
        <v>           KC_A, </v>
      </c>
      <c r="D68" s="42" t="str">
        <f aca="false">IF(D42="TERM","",IF(D42="NONE",REPT(" ",17),REPT(" ",15-LEN(D42))&amp;D42))&amp;IF(OR(D42="TERM",D42="NONE"),"",IF(E42="TERM","",IF(E42="",",",", ")))</f>
        <v>           KC_S, </v>
      </c>
      <c r="E68" s="42" t="str">
        <f aca="false">IF(E42="TERM","",IF(E42="NONE",REPT(" ",17),REPT(" ",15-LEN(E42))&amp;E42))&amp;IF(OR(E42="TERM",E42="NONE"),"",IF(F42="TERM","",IF(F42="",",",", ")))</f>
        <v>           KC_D, </v>
      </c>
      <c r="F68" s="42" t="str">
        <f aca="false">IF(F42="TERM","",IF(F42="NONE",REPT(" ",17),REPT(" ",15-LEN(F42))&amp;F42))&amp;IF(OR(F42="TERM",F42="NONE"),"",IF(G42="TERM","",IF(G42="",",",", ")))</f>
        <v>           KC_F, </v>
      </c>
      <c r="G68" s="42" t="str">
        <f aca="false">IF(G42="TERM","",IF(G42="NONE",REPT(" ",17),REPT(" ",15-LEN(G42))&amp;G42))&amp;IF(OR(G42="TERM",G42="NONE"),"",IF(H42="TERM","",IF(H42="",",",", ")))</f>
        <v>           KC_G, </v>
      </c>
      <c r="H68" s="43" t="str">
        <f aca="false">IF(H42="TERM","",IF(H42="NONE",REPT(" ",17),REPT(" ",15-LEN(H42))&amp;H42))&amp;IF(OR(H42="TERM",H42="NONE"),"",IF(I42="TERM","",IF(I42="",",",", ")))</f>
        <v>                 </v>
      </c>
      <c r="I68" s="43" t="str">
        <f aca="false">IF(I42="TERM","",IF(I42="NONE",REPT(" ",17),REPT(" ",15-LEN(I42))&amp;I42))&amp;IF(OR(I42="TERM",I42="NONE"),"",IF(J42="TERM","",IF(J42="",",",", ")))</f>
        <v>                 </v>
      </c>
      <c r="J68" s="42" t="str">
        <f aca="false">IF(J42="TERM","",IF(J42="NONE",REPT(" ",17),REPT(" ",15-LEN(J42))&amp;J42))&amp;IF(OR(J42="TERM",J42="NONE"),"",IF(K42="TERM","",IF(K42="",",",", ")))</f>
        <v>           KC_H, </v>
      </c>
      <c r="K68" s="42" t="str">
        <f aca="false">IF(K42="TERM","",IF(K42="NONE",REPT(" ",17),REPT(" ",15-LEN(K42))&amp;K42))&amp;IF(OR(K42="TERM",K42="NONE"),"",IF(L42="TERM","",IF(L42="",",",", ")))</f>
        <v>           KC_J, </v>
      </c>
      <c r="L68" s="42" t="str">
        <f aca="false">IF(L42="TERM","",IF(L42="NONE",REPT(" ",17),REPT(" ",15-LEN(L42))&amp;L42))&amp;IF(OR(L42="TERM",L42="NONE"),"",IF(M42="TERM","",IF(M42="",",",", ")))</f>
        <v>           KC_K, </v>
      </c>
      <c r="M68" s="42" t="str">
        <f aca="false">IF(M42="TERM","",IF(M42="NONE",REPT(" ",17),REPT(" ",15-LEN(M42))&amp;M42))&amp;IF(OR(M42="TERM",M42="NONE"),"",IF(N42="TERM","",IF(N42="",",",", ")))</f>
        <v>           KC_L, </v>
      </c>
      <c r="N68" s="42" t="str">
        <f aca="false">IF(N42="TERM","",IF(N42="NONE",REPT(" ",17),REPT(" ",15-LEN(N42))&amp;N42))&amp;IF(OR(N42="TERM",N42="NONE"),"",IF(O42="TERM","",IF(O42="",",",", ")))</f>
        <v>        KC_SCLN, </v>
      </c>
      <c r="O68" s="44" t="str">
        <f aca="false">IF(O42="TERM","",IF(O42="NONE",REPT(" ",17),REPT(" ",15-LEN(O42))&amp;O42))&amp;IF(OR(O42="TERM",O42="NONE"),"",IF(P42="TERM","",IF(P42="",",",", ")))</f>
        <v>        KC_QUOT,</v>
      </c>
    </row>
    <row r="69" customFormat="false" ht="21" hidden="false" customHeight="true" outlineLevel="0" collapsed="false">
      <c r="A69" s="30"/>
      <c r="B69" s="42" t="str">
        <f aca="false">IF(B43="TERM","",IF(B43="NONE",REPT(" ",17),REPT(" ",15-LEN(B43))&amp;B43))&amp;IF(OR(B43="TERM",B43="NONE"),"",IF(C43="TERM","",IF(C43="",",",", ")))</f>
        <v>        _______, </v>
      </c>
      <c r="C69" s="42" t="str">
        <f aca="false">IF(C43="TERM","",IF(C43="NONE",REPT(" ",17),REPT(" ",15-LEN(C43))&amp;C43))&amp;IF(OR(C43="TERM",C43="NONE"),"",IF(D43="TERM","",IF(D43="",",",", ")))</f>
        <v>           KC_Z, </v>
      </c>
      <c r="D69" s="42" t="str">
        <f aca="false">IF(D43="TERM","",IF(D43="NONE",REPT(" ",17),REPT(" ",15-LEN(D43))&amp;D43))&amp;IF(OR(D43="TERM",D43="NONE"),"",IF(E43="TERM","",IF(E43="",",",", ")))</f>
        <v>           KC_X, </v>
      </c>
      <c r="E69" s="42" t="str">
        <f aca="false">IF(E43="TERM","",IF(E43="NONE",REPT(" ",17),REPT(" ",15-LEN(E43))&amp;E43))&amp;IF(OR(E43="TERM",E43="NONE"),"",IF(F43="TERM","",IF(F43="",",",", ")))</f>
        <v>           KC_C, </v>
      </c>
      <c r="F69" s="42" t="str">
        <f aca="false">IF(F43="TERM","",IF(F43="NONE",REPT(" ",17),REPT(" ",15-LEN(F43))&amp;F43))&amp;IF(OR(F43="TERM",F43="NONE"),"",IF(G43="TERM","",IF(G43="",",",", ")))</f>
        <v>           KC_V, </v>
      </c>
      <c r="G69" s="42" t="str">
        <f aca="false">IF(G43="TERM","",IF(G43="NONE",REPT(" ",17),REPT(" ",15-LEN(G43))&amp;G43))&amp;IF(OR(G43="TERM",G43="NONE"),"",IF(H43="TERM","",IF(H43="",",",", ")))</f>
        <v>           KC_B, </v>
      </c>
      <c r="H69" s="43" t="str">
        <f aca="false">IF(H43="TERM","",IF(H43="NONE",REPT(" ",17),REPT(" ",15-LEN(H43))&amp;H43))&amp;IF(OR(H43="TERM",H43="NONE"),"",IF(I43="TERM","",IF(I43="",",",", ")))</f>
        <v>                 </v>
      </c>
      <c r="I69" s="43" t="str">
        <f aca="false">IF(I43="TERM","",IF(I43="NONE",REPT(" ",17),REPT(" ",15-LEN(I43))&amp;I43))&amp;IF(OR(I43="TERM",I43="NONE"),"",IF(J43="TERM","",IF(J43="",",",", ")))</f>
        <v>                 </v>
      </c>
      <c r="J69" s="42" t="str">
        <f aca="false">IF(J43="TERM","",IF(J43="NONE",REPT(" ",17),REPT(" ",15-LEN(J43))&amp;J43))&amp;IF(OR(J43="TERM",J43="NONE"),"",IF(K43="TERM","",IF(K43="",",",", ")))</f>
        <v>           KC_N, </v>
      </c>
      <c r="K69" s="42" t="str">
        <f aca="false">IF(K43="TERM","",IF(K43="NONE",REPT(" ",17),REPT(" ",15-LEN(K43))&amp;K43))&amp;IF(OR(K43="TERM",K43="NONE"),"",IF(L43="TERM","",IF(L43="",",",", ")))</f>
        <v>           KC_M, </v>
      </c>
      <c r="L69" s="42" t="str">
        <f aca="false">IF(L43="TERM","",IF(L43="NONE",REPT(" ",17),REPT(" ",15-LEN(L43))&amp;L43))&amp;IF(OR(L43="TERM",L43="NONE"),"",IF(M43="TERM","",IF(M43="",",",", ")))</f>
        <v>        _______, </v>
      </c>
      <c r="M69" s="42" t="str">
        <f aca="false">IF(M43="TERM","",IF(M43="NONE",REPT(" ",17),REPT(" ",15-LEN(M43))&amp;M43))&amp;IF(OR(M43="TERM",M43="NONE"),"",IF(N43="TERM","",IF(N43="",",",", ")))</f>
        <v>        _______, </v>
      </c>
      <c r="N69" s="42" t="str">
        <f aca="false">IF(N43="TERM","",IF(N43="NONE",REPT(" ",17),REPT(" ",15-LEN(N43))&amp;N43))&amp;IF(OR(N43="TERM",N43="NONE"),"",IF(O43="TERM","",IF(O43="",",",", ")))</f>
        <v>        _______, </v>
      </c>
      <c r="O69" s="44" t="str">
        <f aca="false">IF(O43="TERM","",IF(O43="NONE",REPT(" ",17),REPT(" ",15-LEN(O43))&amp;O43))&amp;IF(OR(O43="TERM",O43="NONE"),"",IF(P43="TERM","",IF(P43="",",",", ")))</f>
        <v>        _______,</v>
      </c>
    </row>
    <row r="70" customFormat="false" ht="21" hidden="false" customHeight="true" outlineLevel="0" collapsed="false">
      <c r="A70" s="34"/>
      <c r="B70" s="45" t="str">
        <f aca="false">IF(B44="TERM","",IF(B44="NONE",REPT(" ",17),REPT(" ",15-LEN(B44))&amp;B44))&amp;IF(OR(B44="TERM",B44="NONE"),"",IF(C44="TERM","",IF(C44="",",",", ")))</f>
        <v>                 </v>
      </c>
      <c r="C70" s="45" t="str">
        <f aca="false">IF(C44="TERM","",IF(C44="NONE",REPT(" ",17),REPT(" ",15-LEN(C44))&amp;C44))&amp;IF(OR(C44="TERM",C44="NONE"),"",IF(D44="TERM","",IF(D44="",",",", ")))</f>
        <v>                 </v>
      </c>
      <c r="D70" s="45" t="str">
        <f aca="false">IF(D44="TERM","",IF(D44="NONE",REPT(" ",17),REPT(" ",15-LEN(D44))&amp;D44))&amp;IF(OR(D44="TERM",D44="NONE"),"",IF(E44="TERM","",IF(E44="",",",", ")))</f>
        <v>                 </v>
      </c>
      <c r="E70" s="45" t="str">
        <f aca="false">IF(E44="TERM","",IF(E44="NONE",REPT(" ",17),REPT(" ",15-LEN(E44))&amp;E44))&amp;IF(OR(E44="TERM",E44="NONE"),"",IF(F44="TERM","",IF(F44="",",",", ")))</f>
        <v>                 </v>
      </c>
      <c r="F70" s="46" t="str">
        <f aca="false">IF(F44="TERM","",IF(F44="NONE",REPT(" ",17),REPT(" ",15-LEN(F44))&amp;F44))&amp;IF(OR(F44="TERM",F44="NONE"),"",IF(G44="TERM","",IF(G44="",",",", ")))</f>
        <v>           TG_R, </v>
      </c>
      <c r="G70" s="46" t="str">
        <f aca="false">IF(G44="TERM","",IF(G44="NONE",REPT(" ",17),REPT(" ",15-LEN(G44))&amp;G44))&amp;IF(OR(G44="TERM",G44="NONE"),"",IF(H44="TERM","",IF(H44="",",",", ")))</f>
        <v>         KC_SPC, </v>
      </c>
      <c r="H70" s="46" t="str">
        <f aca="false">IF(H44="TERM","",IF(H44="NONE",REPT(" ",17),REPT(" ",15-LEN(H44))&amp;H44))&amp;IF(OR(H44="TERM",H44="NONE"),"",IF(I44="TERM","",IF(I44="",",",", ")))</f>
        <v>          MO_RA, </v>
      </c>
      <c r="I70" s="46" t="str">
        <f aca="false">IF(I44="TERM","",IF(I44="NONE",REPT(" ",17),REPT(" ",15-LEN(I44))&amp;I44))&amp;IF(OR(I44="TERM",I44="NONE"),"",IF(J44="TERM","",IF(J44="",",",", ")))</f>
        <v>          MO_LA, </v>
      </c>
      <c r="J70" s="46" t="str">
        <f aca="false">IF(J44="TERM","",IF(J44="NONE",REPT(" ",17),REPT(" ",15-LEN(J44))&amp;J44))&amp;IF(OR(J44="TERM",J44="NONE"),"",IF(K44="TERM","",IF(K44="",",",", ")))</f>
        <v>         KC_ENT, </v>
      </c>
      <c r="K70" s="46" t="str">
        <f aca="false">IF(K44="TERM","",IF(K44="NONE",REPT(" ",17),REPT(" ",15-LEN(K44))&amp;K44))&amp;IF(OR(K44="TERM",K44="NONE"),"",IF(L44="TERM","",IF(L44="",",",", ")))</f>
        <v>           TG_L</v>
      </c>
      <c r="L70" s="45" t="str">
        <f aca="false">IF(L44="TERM","",IF(L44="NONE",REPT(" ",17),REPT(" ",15-LEN(L44))&amp;L44))&amp;IF(OR(L44="TERM",L44="NONE"),"",IF(M44="TERM","",IF(M44="",",",", ")))</f>
        <v/>
      </c>
      <c r="M70" s="45" t="str">
        <f aca="false">IF(M44="TERM","",IF(M44="NONE",REPT(" ",17),REPT(" ",15-LEN(M44))&amp;M44))&amp;IF(OR(M44="TERM",M44="NONE"),"",IF(N44="TERM","",IF(N44="",",",", ")))</f>
        <v/>
      </c>
      <c r="N70" s="45" t="str">
        <f aca="false">IF(N44="TERM","",IF(N44="NONE",REPT(" ",17),REPT(" ",15-LEN(N44))&amp;N44))&amp;IF(OR(N44="TERM",N44="NONE"),"",IF(O44="TERM","",IF(O44="",",",", ")))</f>
        <v/>
      </c>
      <c r="O70" s="47" t="str">
        <f aca="false">IF(O44="TERM","",IF(O44="NONE",REPT(" ",17),REPT(" ",15-LEN(O44))&amp;O44))&amp;IF(OR(O44="TERM",O44="NONE"),"",IF(P44="TERM","",IF(P44="",",",", ")))</f>
        <v/>
      </c>
    </row>
    <row r="71" customFormat="false" ht="21" hidden="false" customHeight="true" outlineLevel="0" collapsed="false">
      <c r="A71" s="26" t="s">
        <v>320</v>
      </c>
      <c r="B71" s="39" t="str">
        <f aca="false">IF(B45="TERM","",IF(B45="NONE",REPT(" ",17),REPT(" ",15-LEN(B45))&amp;B45))&amp;IF(OR(B45="TERM",B45="NONE"),"",IF(C45="TERM","",IF(C45="",",",", ")))</f>
        <v>        XXXXXXX, </v>
      </c>
      <c r="C71" s="39" t="str">
        <f aca="false">IF(C45="TERM","",IF(C45="NONE",REPT(" ",17),REPT(" ",15-LEN(C45))&amp;C45))&amp;IF(OR(C45="TERM",C45="NONE"),"",IF(D45="TERM","",IF(D45="",",",", ")))</f>
        <v>        S(KC_1), </v>
      </c>
      <c r="D71" s="39" t="str">
        <f aca="false">IF(D45="TERM","",IF(D45="NONE",REPT(" ",17),REPT(" ",15-LEN(D45))&amp;D45))&amp;IF(OR(D45="TERM",D45="NONE"),"",IF(E45="TERM","",IF(E45="",",",", ")))</f>
        <v>        S(KC_2), </v>
      </c>
      <c r="E71" s="39" t="str">
        <f aca="false">IF(E45="TERM","",IF(E45="NONE",REPT(" ",17),REPT(" ",15-LEN(E45))&amp;E45))&amp;IF(OR(E45="TERM",E45="NONE"),"",IF(F45="TERM","",IF(F45="",",",", ")))</f>
        <v>        S(KC_3), </v>
      </c>
      <c r="F71" s="39" t="str">
        <f aca="false">IF(F45="TERM","",IF(F45="NONE",REPT(" ",17),REPT(" ",15-LEN(F45))&amp;F45))&amp;IF(OR(F45="TERM",F45="NONE"),"",IF(G45="TERM","",IF(G45="",",",", ")))</f>
        <v>        S(KC_4), </v>
      </c>
      <c r="G71" s="39" t="str">
        <f aca="false">IF(G45="TERM","",IF(G45="NONE",REPT(" ",17),REPT(" ",15-LEN(G45))&amp;G45))&amp;IF(OR(G45="TERM",G45="NONE"),"",IF(H45="TERM","",IF(H45="",",",", ")))</f>
        <v>        S(KC_5), </v>
      </c>
      <c r="H71" s="40" t="str">
        <f aca="false">IF(H45="TERM","",IF(H45="NONE",REPT(" ",17),REPT(" ",15-LEN(H45))&amp;H45))&amp;IF(OR(H45="TERM",H45="NONE"),"",IF(I45="TERM","",IF(I45="",",",", ")))</f>
        <v>                 </v>
      </c>
      <c r="I71" s="40" t="str">
        <f aca="false">IF(I45="TERM","",IF(I45="NONE",REPT(" ",17),REPT(" ",15-LEN(I45))&amp;I45))&amp;IF(OR(I45="TERM",I45="NONE"),"",IF(J45="TERM","",IF(J45="",",",", ")))</f>
        <v>                 </v>
      </c>
      <c r="J71" s="39" t="str">
        <f aca="false">IF(J45="TERM","",IF(J45="NONE",REPT(" ",17),REPT(" ",15-LEN(J45))&amp;J45))&amp;IF(OR(J45="TERM",J45="NONE"),"",IF(K45="TERM","",IF(K45="",",",", ")))</f>
        <v>        S(KC_6), </v>
      </c>
      <c r="K71" s="39" t="str">
        <f aca="false">IF(K45="TERM","",IF(K45="NONE",REPT(" ",17),REPT(" ",15-LEN(K45))&amp;K45))&amp;IF(OR(K45="TERM",K45="NONE"),"",IF(L45="TERM","",IF(L45="",",",", ")))</f>
        <v>        S(KC_7), </v>
      </c>
      <c r="L71" s="39" t="str">
        <f aca="false">IF(L45="TERM","",IF(L45="NONE",REPT(" ",17),REPT(" ",15-LEN(L45))&amp;L45))&amp;IF(OR(L45="TERM",L45="NONE"),"",IF(M45="TERM","",IF(M45="",",",", ")))</f>
        <v>        S(KC_8), </v>
      </c>
      <c r="M71" s="39" t="str">
        <f aca="false">IF(M45="TERM","",IF(M45="NONE",REPT(" ",17),REPT(" ",15-LEN(M45))&amp;M45))&amp;IF(OR(M45="TERM",M45="NONE"),"",IF(N45="TERM","",IF(N45="",",",", ")))</f>
        <v>        S(KC_9), </v>
      </c>
      <c r="N71" s="39" t="str">
        <f aca="false">IF(N45="TERM","",IF(N45="NONE",REPT(" ",17),REPT(" ",15-LEN(N45))&amp;N45))&amp;IF(OR(N45="TERM",N45="NONE"),"",IF(O45="TERM","",IF(O45="",",",", ")))</f>
        <v>        XXXXXXX, </v>
      </c>
      <c r="O71" s="41" t="str">
        <f aca="false">IF(O45="TERM","",IF(O45="NONE",REPT(" ",17),REPT(" ",15-LEN(O45))&amp;O45))&amp;IF(OR(O45="TERM",O45="NONE"),"",IF(P45="TERM","",IF(P45="",",",", ")))</f>
        <v>     S(KC_LBRC),</v>
      </c>
    </row>
    <row r="72" customFormat="false" ht="21" hidden="false" customHeight="true" outlineLevel="0" collapsed="false">
      <c r="A72" s="30"/>
      <c r="B72" s="42" t="str">
        <f aca="false">IF(B46="TERM","",IF(B46="NONE",REPT(" ",17),REPT(" ",15-LEN(B46))&amp;B46))&amp;IF(OR(B46="TERM",B46="NONE"),"",IF(C46="TERM","",IF(C46="",",",", ")))</f>
        <v>        XXXXXXX, </v>
      </c>
      <c r="C72" s="42" t="str">
        <f aca="false">IF(C46="TERM","",IF(C46="NONE",REPT(" ",17),REPT(" ",15-LEN(C46))&amp;C46))&amp;IF(OR(C46="TERM",C46="NONE"),"",IF(D46="TERM","",IF(D46="",",",", ")))</f>
        <v>        XXXXXXX, </v>
      </c>
      <c r="D72" s="42" t="str">
        <f aca="false">IF(D46="TERM","",IF(D46="NONE",REPT(" ",17),REPT(" ",15-LEN(D46))&amp;D46))&amp;IF(OR(D46="TERM",D46="NONE"),"",IF(E46="TERM","",IF(E46="",",",", ")))</f>
        <v>        KC_HOME, </v>
      </c>
      <c r="E72" s="42" t="str">
        <f aca="false">IF(E46="TERM","",IF(E46="NONE",REPT(" ",17),REPT(" ",15-LEN(E46))&amp;E46))&amp;IF(OR(E46="TERM",E46="NONE"),"",IF(F46="TERM","",IF(F46="",",",", ")))</f>
        <v>        KC_PGUP, </v>
      </c>
      <c r="F72" s="42" t="str">
        <f aca="false">IF(F46="TERM","",IF(F46="NONE",REPT(" ",17),REPT(" ",15-LEN(F46))&amp;F46))&amp;IF(OR(F46="TERM",F46="NONE"),"",IF(G46="TERM","",IF(G46="",",",", ")))</f>
        <v>        KC_PGDN, </v>
      </c>
      <c r="G72" s="42" t="str">
        <f aca="false">IF(G46="TERM","",IF(G46="NONE",REPT(" ",17),REPT(" ",15-LEN(G46))&amp;G46))&amp;IF(OR(G46="TERM",G46="NONE"),"",IF(H46="TERM","",IF(H46="",",",", ")))</f>
        <v>         KC_END, </v>
      </c>
      <c r="H72" s="43" t="str">
        <f aca="false">IF(H46="TERM","",IF(H46="NONE",REPT(" ",17),REPT(" ",15-LEN(H46))&amp;H46))&amp;IF(OR(H46="TERM",H46="NONE"),"",IF(I46="TERM","",IF(I46="",",",", ")))</f>
        <v>                 </v>
      </c>
      <c r="I72" s="43" t="str">
        <f aca="false">IF(I46="TERM","",IF(I46="NONE",REPT(" ",17),REPT(" ",15-LEN(I46))&amp;I46))&amp;IF(OR(I46="TERM",I46="NONE"),"",IF(J46="TERM","",IF(J46="",",",", ")))</f>
        <v>                 </v>
      </c>
      <c r="J72" s="42" t="str">
        <f aca="false">IF(J46="TERM","",IF(J46="NONE",REPT(" ",17),REPT(" ",15-LEN(J46))&amp;J46))&amp;IF(OR(J46="TERM",J46="NONE"),"",IF(K46="TERM","",IF(K46="",",",", ")))</f>
        <v>        KC_LEFT, </v>
      </c>
      <c r="K72" s="42" t="str">
        <f aca="false">IF(K46="TERM","",IF(K46="NONE",REPT(" ",17),REPT(" ",15-LEN(K46))&amp;K46))&amp;IF(OR(K46="TERM",K46="NONE"),"",IF(L46="TERM","",IF(L46="",",",", ")))</f>
        <v>        KC_DOWN, </v>
      </c>
      <c r="L72" s="42" t="str">
        <f aca="false">IF(L46="TERM","",IF(L46="NONE",REPT(" ",17),REPT(" ",15-LEN(L46))&amp;L46))&amp;IF(OR(L46="TERM",L46="NONE"),"",IF(M46="TERM","",IF(M46="",",",", ")))</f>
        <v>          KC_UP, </v>
      </c>
      <c r="M72" s="42" t="str">
        <f aca="false">IF(M46="TERM","",IF(M46="NONE",REPT(" ",17),REPT(" ",15-LEN(M46))&amp;M46))&amp;IF(OR(M46="TERM",M46="NONE"),"",IF(N46="TERM","",IF(N46="",",",", ")))</f>
        <v>        KC_RGHT, </v>
      </c>
      <c r="N72" s="42" t="str">
        <f aca="false">IF(N46="TERM","",IF(N46="NONE",REPT(" ",17),REPT(" ",15-LEN(N46))&amp;N46))&amp;IF(OR(N46="TERM",N46="NONE"),"",IF(O46="TERM","",IF(O46="",",",", ")))</f>
        <v>         KC_EQL, </v>
      </c>
      <c r="O72" s="44" t="str">
        <f aca="false">IF(O46="TERM","",IF(O46="NONE",REPT(" ",17),REPT(" ",15-LEN(O46))&amp;O46))&amp;IF(OR(O46="TERM",O46="NONE"),"",IF(P46="TERM","",IF(P46="",",",", ")))</f>
        <v>        KC_MINS,</v>
      </c>
    </row>
    <row r="73" customFormat="false" ht="21" hidden="false" customHeight="true" outlineLevel="0" collapsed="false">
      <c r="A73" s="30"/>
      <c r="B73" s="42" t="str">
        <f aca="false">IF(B47="TERM","",IF(B47="NONE",REPT(" ",17),REPT(" ",15-LEN(B47))&amp;B47))&amp;IF(OR(B47="TERM",B47="NONE"),"",IF(C47="TERM","",IF(C47="",",",", ")))</f>
        <v>        _______, </v>
      </c>
      <c r="C73" s="42" t="str">
        <f aca="false">IF(C47="TERM","",IF(C47="NONE",REPT(" ",17),REPT(" ",15-LEN(C47))&amp;C47))&amp;IF(OR(C47="TERM",C47="NONE"),"",IF(D47="TERM","",IF(D47="",",",", ")))</f>
        <v>        KC_LALT, </v>
      </c>
      <c r="D73" s="42" t="str">
        <f aca="false">IF(D47="TERM","",IF(D47="NONE",REPT(" ",17),REPT(" ",15-LEN(D47))&amp;D47))&amp;IF(OR(D47="TERM",D47="NONE"),"",IF(E47="TERM","",IF(E47="",",",", ")))</f>
        <v>        XXXXXXX, </v>
      </c>
      <c r="E73" s="42" t="str">
        <f aca="false">IF(E47="TERM","",IF(E47="NONE",REPT(" ",17),REPT(" ",15-LEN(E47))&amp;E47))&amp;IF(OR(E47="TERM",E47="NONE"),"",IF(F47="TERM","",IF(F47="",",",", ")))</f>
        <v>        XXXXXXX, </v>
      </c>
      <c r="F73" s="42" t="str">
        <f aca="false">IF(F47="TERM","",IF(F47="NONE",REPT(" ",17),REPT(" ",15-LEN(F47))&amp;F47))&amp;IF(OR(F47="TERM",F47="NONE"),"",IF(G47="TERM","",IF(G47="",",",", ")))</f>
        <v>        KC_INT5, </v>
      </c>
      <c r="G73" s="42" t="str">
        <f aca="false">IF(G47="TERM","",IF(G47="NONE",REPT(" ",17),REPT(" ",15-LEN(G47))&amp;G47))&amp;IF(OR(G47="TERM",G47="NONE"),"",IF(H47="TERM","",IF(H47="",",",", ")))</f>
        <v>        KC_BSPC, </v>
      </c>
      <c r="H73" s="43" t="str">
        <f aca="false">IF(H47="TERM","",IF(H47="NONE",REPT(" ",17),REPT(" ",15-LEN(H47))&amp;H47))&amp;IF(OR(H47="TERM",H47="NONE"),"",IF(I47="TERM","",IF(I47="",",",", ")))</f>
        <v>                 </v>
      </c>
      <c r="I73" s="43" t="str">
        <f aca="false">IF(I47="TERM","",IF(I47="NONE",REPT(" ",17),REPT(" ",15-LEN(I47))&amp;I47))&amp;IF(OR(I47="TERM",I47="NONE"),"",IF(J47="TERM","",IF(J47="",",",", ")))</f>
        <v>                 </v>
      </c>
      <c r="J73" s="42" t="str">
        <f aca="false">IF(J47="TERM","",IF(J47="NONE",REPT(" ",17),REPT(" ",15-LEN(J47))&amp;J47))&amp;IF(OR(J47="TERM",J47="NONE"),"",IF(K47="TERM","",IF(K47="",",",", ")))</f>
        <v>         KC_DEL, </v>
      </c>
      <c r="K73" s="42" t="str">
        <f aca="false">IF(K47="TERM","",IF(K47="NONE",REPT(" ",17),REPT(" ",15-LEN(K47))&amp;K47))&amp;IF(OR(K47="TERM",K47="NONE"),"",IF(L47="TERM","",IF(L47="",",",", ")))</f>
        <v>        KC_INT4, </v>
      </c>
      <c r="L73" s="42" t="str">
        <f aca="false">IF(L47="TERM","",IF(L47="NONE",REPT(" ",17),REPT(" ",15-LEN(L47))&amp;L47))&amp;IF(OR(L47="TERM",L47="NONE"),"",IF(M47="TERM","",IF(M47="",",",", ")))</f>
        <v>        KC_RBRC, </v>
      </c>
      <c r="M73" s="42" t="str">
        <f aca="false">IF(M47="TERM","",IF(M47="NONE",REPT(" ",17),REPT(" ",15-LEN(M47))&amp;M47))&amp;IF(OR(M47="TERM",M47="NONE"),"",IF(N47="TERM","",IF(N47="",",",", ")))</f>
        <v>        KC_BSLS, </v>
      </c>
      <c r="N73" s="42" t="str">
        <f aca="false">IF(N47="TERM","",IF(N47="NONE",REPT(" ",17),REPT(" ",15-LEN(N47))&amp;N47))&amp;IF(OR(N47="TERM",N47="NONE"),"",IF(O47="TERM","",IF(O47="",",",", ")))</f>
        <v>      S(KC_EQL), </v>
      </c>
      <c r="O73" s="44" t="str">
        <f aca="false">IF(O47="TERM","",IF(O47="NONE",REPT(" ",17),REPT(" ",15-LEN(O47))&amp;O47))&amp;IF(OR(O47="TERM",O47="NONE"),"",IF(P47="TERM","",IF(P47="",",",", ")))</f>
        <v>     S(KC_INT3),</v>
      </c>
    </row>
    <row r="74" customFormat="false" ht="21" hidden="false" customHeight="true" outlineLevel="0" collapsed="false">
      <c r="A74" s="34"/>
      <c r="B74" s="45" t="str">
        <f aca="false">IF(B48="TERM","",IF(B48="NONE",REPT(" ",17),REPT(" ",15-LEN(B48))&amp;B48))&amp;IF(OR(B48="TERM",B48="NONE"),"",IF(C48="TERM","",IF(C48="",",",", ")))</f>
        <v>                 </v>
      </c>
      <c r="C74" s="45" t="str">
        <f aca="false">IF(C48="TERM","",IF(C48="NONE",REPT(" ",17),REPT(" ",15-LEN(C48))&amp;C48))&amp;IF(OR(C48="TERM",C48="NONE"),"",IF(D48="TERM","",IF(D48="",",",", ")))</f>
        <v>                 </v>
      </c>
      <c r="D74" s="45" t="str">
        <f aca="false">IF(D48="TERM","",IF(D48="NONE",REPT(" ",17),REPT(" ",15-LEN(D48))&amp;D48))&amp;IF(OR(D48="TERM",D48="NONE"),"",IF(E48="TERM","",IF(E48="",",",", ")))</f>
        <v>                 </v>
      </c>
      <c r="E74" s="45" t="str">
        <f aca="false">IF(E48="TERM","",IF(E48="NONE",REPT(" ",17),REPT(" ",15-LEN(E48))&amp;E48))&amp;IF(OR(E48="TERM",E48="NONE"),"",IF(F48="TERM","",IF(F48="",",",", ")))</f>
        <v>                 </v>
      </c>
      <c r="F74" s="46" t="str">
        <f aca="false">IF(F48="TERM","",IF(F48="NONE",REPT(" ",17),REPT(" ",15-LEN(F48))&amp;F48))&amp;IF(OR(F48="TERM",F48="NONE"),"",IF(G48="TERM","",IF(G48="",",",", ")))</f>
        <v>        _______, </v>
      </c>
      <c r="G74" s="46" t="str">
        <f aca="false">IF(G48="TERM","",IF(G48="NONE",REPT(" ",17),REPT(" ",15-LEN(G48))&amp;G48))&amp;IF(OR(G48="TERM",G48="NONE"),"",IF(H48="TERM","",IF(H48="",",",", ")))</f>
        <v>        _______, </v>
      </c>
      <c r="H74" s="46" t="str">
        <f aca="false">IF(H48="TERM","",IF(H48="NONE",REPT(" ",17),REPT(" ",15-LEN(H48))&amp;H48))&amp;IF(OR(H48="TERM",H48="NONE"),"",IF(I48="TERM","",IF(I48="",",",", ")))</f>
        <v>        _______, </v>
      </c>
      <c r="I74" s="46" t="str">
        <f aca="false">IF(I48="TERM","",IF(I48="NONE",REPT(" ",17),REPT(" ",15-LEN(I48))&amp;I48))&amp;IF(OR(I48="TERM",I48="NONE"),"",IF(J48="TERM","",IF(J48="",",",", ")))</f>
        <v>        _______, </v>
      </c>
      <c r="J74" s="46" t="str">
        <f aca="false">IF(J48="TERM","",IF(J48="NONE",REPT(" ",17),REPT(" ",15-LEN(J48))&amp;J48))&amp;IF(OR(J48="TERM",J48="NONE"),"",IF(K48="TERM","",IF(K48="",",",", ")))</f>
        <v>        _______, </v>
      </c>
      <c r="K74" s="46" t="str">
        <f aca="false">IF(K48="TERM","",IF(K48="NONE",REPT(" ",17),REPT(" ",15-LEN(K48))&amp;K48))&amp;IF(OR(K48="TERM",K48="NONE"),"",IF(L48="TERM","",IF(L48="",",",", ")))</f>
        <v>        _______</v>
      </c>
      <c r="L74" s="45" t="str">
        <f aca="false">IF(L48="TERM","",IF(L48="NONE",REPT(" ",17),REPT(" ",15-LEN(L48))&amp;L48))&amp;IF(OR(L48="TERM",L48="NONE"),"",IF(M48="TERM","",IF(M48="",",",", ")))</f>
        <v/>
      </c>
      <c r="M74" s="45" t="str">
        <f aca="false">IF(M48="TERM","",IF(M48="NONE",REPT(" ",17),REPT(" ",15-LEN(M48))&amp;M48))&amp;IF(OR(M48="TERM",M48="NONE"),"",IF(N48="TERM","",IF(N48="",",",", ")))</f>
        <v/>
      </c>
      <c r="N74" s="45" t="str">
        <f aca="false">IF(N48="TERM","",IF(N48="NONE",REPT(" ",17),REPT(" ",15-LEN(N48))&amp;N48))&amp;IF(OR(N48="TERM",N48="NONE"),"",IF(O48="TERM","",IF(O48="",",",", ")))</f>
        <v/>
      </c>
      <c r="O74" s="47" t="str">
        <f aca="false">IF(O48="TERM","",IF(O48="NONE",REPT(" ",17),REPT(" ",15-LEN(O48))&amp;O48))&amp;IF(OR(O48="TERM",O48="NONE"),"",IF(P48="TERM","",IF(P48="",",",", ")))</f>
        <v/>
      </c>
    </row>
    <row r="75" customFormat="false" ht="21" hidden="false" customHeight="true" outlineLevel="0" collapsed="false">
      <c r="A75" s="26" t="s">
        <v>321</v>
      </c>
      <c r="B75" s="39" t="str">
        <f aca="false">IF(B49="TERM","",IF(B49="NONE",REPT(" ",17),REPT(" ",15-LEN(B49))&amp;B49))&amp;IF(OR(B49="TERM",B49="NONE"),"",IF(C49="TERM","",IF(C49="",",",", ")))</f>
        <v>          KC_F1, </v>
      </c>
      <c r="C75" s="39" t="str">
        <f aca="false">IF(C49="TERM","",IF(C49="NONE",REPT(" ",17),REPT(" ",15-LEN(C49))&amp;C49))&amp;IF(OR(C49="TERM",C49="NONE"),"",IF(D49="TERM","",IF(D49="",",",", ")))</f>
        <v>          KC_F2, </v>
      </c>
      <c r="D75" s="39" t="str">
        <f aca="false">IF(D49="TERM","",IF(D49="NONE",REPT(" ",17),REPT(" ",15-LEN(D49))&amp;D49))&amp;IF(OR(D49="TERM",D49="NONE"),"",IF(E49="TERM","",IF(E49="",",",", ")))</f>
        <v>          KC_F3, </v>
      </c>
      <c r="E75" s="39" t="str">
        <f aca="false">IF(E49="TERM","",IF(E49="NONE",REPT(" ",17),REPT(" ",15-LEN(E49))&amp;E49))&amp;IF(OR(E49="TERM",E49="NONE"),"",IF(F49="TERM","",IF(F49="",",",", ")))</f>
        <v>          KC_F4, </v>
      </c>
      <c r="F75" s="39" t="str">
        <f aca="false">IF(F49="TERM","",IF(F49="NONE",REPT(" ",17),REPT(" ",15-LEN(F49))&amp;F49))&amp;IF(OR(F49="TERM",F49="NONE"),"",IF(G49="TERM","",IF(G49="",",",", ")))</f>
        <v>          KC_F5, </v>
      </c>
      <c r="G75" s="39" t="str">
        <f aca="false">IF(G49="TERM","",IF(G49="NONE",REPT(" ",17),REPT(" ",15-LEN(G49))&amp;G49))&amp;IF(OR(G49="TERM",G49="NONE"),"",IF(H49="TERM","",IF(H49="",",",", ")))</f>
        <v>          KC_F6, </v>
      </c>
      <c r="H75" s="40" t="str">
        <f aca="false">IF(H49="TERM","",IF(H49="NONE",REPT(" ",17),REPT(" ",15-LEN(H49))&amp;H49))&amp;IF(OR(H49="TERM",H49="NONE"),"",IF(I49="TERM","",IF(I49="",",",", ")))</f>
        <v>                 </v>
      </c>
      <c r="I75" s="40" t="str">
        <f aca="false">IF(I49="TERM","",IF(I49="NONE",REPT(" ",17),REPT(" ",15-LEN(I49))&amp;I49))&amp;IF(OR(I49="TERM",I49="NONE"),"",IF(J49="TERM","",IF(J49="",",",", ")))</f>
        <v>                 </v>
      </c>
      <c r="J75" s="39" t="str">
        <f aca="false">IF(J49="TERM","",IF(J49="NONE",REPT(" ",17),REPT(" ",15-LEN(J49))&amp;J49))&amp;IF(OR(J49="TERM",J49="NONE"),"",IF(K49="TERM","",IF(K49="",",",", ")))</f>
        <v>          KC_F7, </v>
      </c>
      <c r="K75" s="39" t="str">
        <f aca="false">IF(K49="TERM","",IF(K49="NONE",REPT(" ",17),REPT(" ",15-LEN(K49))&amp;K49))&amp;IF(OR(K49="TERM",K49="NONE"),"",IF(L49="TERM","",IF(L49="",",",", ")))</f>
        <v>          KC_F8, </v>
      </c>
      <c r="L75" s="39" t="str">
        <f aca="false">IF(L49="TERM","",IF(L49="NONE",REPT(" ",17),REPT(" ",15-LEN(L49))&amp;L49))&amp;IF(OR(L49="TERM",L49="NONE"),"",IF(M49="TERM","",IF(M49="",",",", ")))</f>
        <v>          KC_F9, </v>
      </c>
      <c r="M75" s="39" t="str">
        <f aca="false">IF(M49="TERM","",IF(M49="NONE",REPT(" ",17),REPT(" ",15-LEN(M49))&amp;M49))&amp;IF(OR(M49="TERM",M49="NONE"),"",IF(N49="TERM","",IF(N49="",",",", ")))</f>
        <v>         KC_F10, </v>
      </c>
      <c r="N75" s="39" t="str">
        <f aca="false">IF(N49="TERM","",IF(N49="NONE",REPT(" ",17),REPT(" ",15-LEN(N49))&amp;N49))&amp;IF(OR(N49="TERM",N49="NONE"),"",IF(O49="TERM","",IF(O49="",",",", ")))</f>
        <v>         KC_F11, </v>
      </c>
      <c r="O75" s="41" t="str">
        <f aca="false">IF(O49="TERM","",IF(O49="NONE",REPT(" ",17),REPT(" ",15-LEN(O49))&amp;O49))&amp;IF(OR(O49="TERM",O49="NONE"),"",IF(P49="TERM","",IF(P49="",",",", ")))</f>
        <v>         KC_F12,</v>
      </c>
    </row>
    <row r="76" customFormat="false" ht="21" hidden="false" customHeight="true" outlineLevel="0" collapsed="false">
      <c r="A76" s="30"/>
      <c r="B76" s="42" t="str">
        <f aca="false">IF(B50="TERM","",IF(B50="NONE",REPT(" ",17),REPT(" ",15-LEN(B50))&amp;B50))&amp;IF(OR(B50="TERM",B50="NONE"),"",IF(C50="TERM","",IF(C50="",",",", ")))</f>
        <v>        XXXXXXX, </v>
      </c>
      <c r="C76" s="42" t="str">
        <f aca="false">IF(C50="TERM","",IF(C50="NONE",REPT(" ",17),REPT(" ",15-LEN(C50))&amp;C50))&amp;IF(OR(C50="TERM",C50="NONE"),"",IF(D50="TERM","",IF(D50="",",",", ")))</f>
        <v>           KC_1, </v>
      </c>
      <c r="D76" s="42" t="str">
        <f aca="false">IF(D50="TERM","",IF(D50="NONE",REPT(" ",17),REPT(" ",15-LEN(D50))&amp;D50))&amp;IF(OR(D50="TERM",D50="NONE"),"",IF(E50="TERM","",IF(E50="",",",", ")))</f>
        <v>           KC_2, </v>
      </c>
      <c r="E76" s="42" t="str">
        <f aca="false">IF(E50="TERM","",IF(E50="NONE",REPT(" ",17),REPT(" ",15-LEN(E50))&amp;E50))&amp;IF(OR(E50="TERM",E50="NONE"),"",IF(F50="TERM","",IF(F50="",",",", ")))</f>
        <v>           KC_3, </v>
      </c>
      <c r="F76" s="42" t="str">
        <f aca="false">IF(F50="TERM","",IF(F50="NONE",REPT(" ",17),REPT(" ",15-LEN(F50))&amp;F50))&amp;IF(OR(F50="TERM",F50="NONE"),"",IF(G50="TERM","",IF(G50="",",",", ")))</f>
        <v>           KC_4, </v>
      </c>
      <c r="G76" s="42" t="str">
        <f aca="false">IF(G50="TERM","",IF(G50="NONE",REPT(" ",17),REPT(" ",15-LEN(G50))&amp;G50))&amp;IF(OR(G50="TERM",G50="NONE"),"",IF(H50="TERM","",IF(H50="",",",", ")))</f>
        <v>           KC_5, </v>
      </c>
      <c r="H76" s="43" t="str">
        <f aca="false">IF(H50="TERM","",IF(H50="NONE",REPT(" ",17),REPT(" ",15-LEN(H50))&amp;H50))&amp;IF(OR(H50="TERM",H50="NONE"),"",IF(I50="TERM","",IF(I50="",",",", ")))</f>
        <v>                 </v>
      </c>
      <c r="I76" s="43" t="str">
        <f aca="false">IF(I50="TERM","",IF(I50="NONE",REPT(" ",17),REPT(" ",15-LEN(I50))&amp;I50))&amp;IF(OR(I50="TERM",I50="NONE"),"",IF(J50="TERM","",IF(J50="",",",", ")))</f>
        <v>                 </v>
      </c>
      <c r="J76" s="42" t="str">
        <f aca="false">IF(J50="TERM","",IF(J50="NONE",REPT(" ",17),REPT(" ",15-LEN(J50))&amp;J50))&amp;IF(OR(J50="TERM",J50="NONE"),"",IF(K50="TERM","",IF(K50="",",",", ")))</f>
        <v>           KC_6, </v>
      </c>
      <c r="K76" s="42" t="str">
        <f aca="false">IF(K50="TERM","",IF(K50="NONE",REPT(" ",17),REPT(" ",15-LEN(K50))&amp;K50))&amp;IF(OR(K50="TERM",K50="NONE"),"",IF(L50="TERM","",IF(L50="",",",", ")))</f>
        <v>           KC_7, </v>
      </c>
      <c r="L76" s="42" t="str">
        <f aca="false">IF(L50="TERM","",IF(L50="NONE",REPT(" ",17),REPT(" ",15-LEN(L50))&amp;L50))&amp;IF(OR(L50="TERM",L50="NONE"),"",IF(M50="TERM","",IF(M50="",",",", ")))</f>
        <v>           KC_8, </v>
      </c>
      <c r="M76" s="42" t="str">
        <f aca="false">IF(M50="TERM","",IF(M50="NONE",REPT(" ",17),REPT(" ",15-LEN(M50))&amp;M50))&amp;IF(OR(M50="TERM",M50="NONE"),"",IF(N50="TERM","",IF(N50="",",",", ")))</f>
        <v>           KC_9, </v>
      </c>
      <c r="N76" s="42" t="str">
        <f aca="false">IF(N50="TERM","",IF(N50="NONE",REPT(" ",17),REPT(" ",15-LEN(N50))&amp;N50))&amp;IF(OR(N50="TERM",N50="NONE"),"",IF(O50="TERM","",IF(O50="",",",", ")))</f>
        <v>           KC_0, </v>
      </c>
      <c r="O76" s="44" t="str">
        <f aca="false">IF(O50="TERM","",IF(O50="NONE",REPT(" ",17),REPT(" ",15-LEN(O50))&amp;O50))&amp;IF(OR(O50="TERM",O50="NONE"),"",IF(P50="TERM","",IF(P50="",",",", ")))</f>
        <v>        _______,</v>
      </c>
    </row>
    <row r="77" customFormat="false" ht="21" hidden="false" customHeight="true" outlineLevel="0" collapsed="false">
      <c r="A77" s="30"/>
      <c r="B77" s="42" t="str">
        <f aca="false">IF(B51="TERM","",IF(B51="NONE",REPT(" ",17),REPT(" ",15-LEN(B51))&amp;B51))&amp;IF(OR(B51="TERM",B51="NONE"),"",IF(C51="TERM","",IF(C51="",",",", ")))</f>
        <v>        _______, </v>
      </c>
      <c r="C77" s="42" t="str">
        <f aca="false">IF(C51="TERM","",IF(C51="NONE",REPT(" ",17),REPT(" ",15-LEN(C51))&amp;C51))&amp;IF(OR(C51="TERM",C51="NONE"),"",IF(D51="TERM","",IF(D51="",",",", ")))</f>
        <v>        _______, </v>
      </c>
      <c r="D77" s="42" t="str">
        <f aca="false">IF(D51="TERM","",IF(D51="NONE",REPT(" ",17),REPT(" ",15-LEN(D51))&amp;D51))&amp;IF(OR(D51="TERM",D51="NONE"),"",IF(E51="TERM","",IF(E51="",",",", ")))</f>
        <v>        KC_VOLD, </v>
      </c>
      <c r="E77" s="42" t="str">
        <f aca="false">IF(E51="TERM","",IF(E51="NONE",REPT(" ",17),REPT(" ",15-LEN(E51))&amp;E51))&amp;IF(OR(E51="TERM",E51="NONE"),"",IF(F51="TERM","",IF(F51="",",",", ")))</f>
        <v>        KC_VOLU, </v>
      </c>
      <c r="F77" s="42" t="str">
        <f aca="false">IF(F51="TERM","",IF(F51="NONE",REPT(" ",17),REPT(" ",15-LEN(F51))&amp;F51))&amp;IF(OR(F51="TERM",F51="NONE"),"",IF(G51="TERM","",IF(G51="",",",", ")))</f>
        <v>        _______, </v>
      </c>
      <c r="G77" s="42" t="str">
        <f aca="false">IF(G51="TERM","",IF(G51="NONE",REPT(" ",17),REPT(" ",15-LEN(G51))&amp;G51))&amp;IF(OR(G51="TERM",G51="NONE"),"",IF(H51="TERM","",IF(H51="",",",", ")))</f>
        <v>        _______, </v>
      </c>
      <c r="H77" s="43" t="str">
        <f aca="false">IF(H51="TERM","",IF(H51="NONE",REPT(" ",17),REPT(" ",15-LEN(H51))&amp;H51))&amp;IF(OR(H51="TERM",H51="NONE"),"",IF(I51="TERM","",IF(I51="",",",", ")))</f>
        <v>                 </v>
      </c>
      <c r="I77" s="43" t="str">
        <f aca="false">IF(I51="TERM","",IF(I51="NONE",REPT(" ",17),REPT(" ",15-LEN(I51))&amp;I51))&amp;IF(OR(I51="TERM",I51="NONE"),"",IF(J51="TERM","",IF(J51="",",",", ")))</f>
        <v>                 </v>
      </c>
      <c r="J77" s="42" t="str">
        <f aca="false">IF(J51="TERM","",IF(J51="NONE",REPT(" ",17),REPT(" ",15-LEN(J51))&amp;J51))&amp;IF(OR(J51="TERM",J51="NONE"),"",IF(K51="TERM","",IF(K51="",",",", ")))</f>
        <v>        _______, </v>
      </c>
      <c r="K77" s="42" t="str">
        <f aca="false">IF(K51="TERM","",IF(K51="NONE",REPT(" ",17),REPT(" ",15-LEN(K51))&amp;K51))&amp;IF(OR(K51="TERM",K51="NONE"),"",IF(L51="TERM","",IF(L51="",",",", ")))</f>
        <v>        _______, </v>
      </c>
      <c r="L77" s="42" t="str">
        <f aca="false">IF(L51="TERM","",IF(L51="NONE",REPT(" ",17),REPT(" ",15-LEN(L51))&amp;L51))&amp;IF(OR(L51="TERM",L51="NONE"),"",IF(M51="TERM","",IF(M51="",",",", ")))</f>
        <v>        KC_COMM, </v>
      </c>
      <c r="M77" s="42" t="str">
        <f aca="false">IF(M51="TERM","",IF(M51="NONE",REPT(" ",17),REPT(" ",15-LEN(M51))&amp;M51))&amp;IF(OR(M51="TERM",M51="NONE"),"",IF(N51="TERM","",IF(N51="",",",", ")))</f>
        <v>         KC_DOT, </v>
      </c>
      <c r="N77" s="42" t="str">
        <f aca="false">IF(N51="TERM","",IF(N51="NONE",REPT(" ",17),REPT(" ",15-LEN(N51))&amp;N51))&amp;IF(OR(N51="TERM",N51="NONE"),"",IF(O51="TERM","",IF(O51="",",",", ")))</f>
        <v>        KC_SLSH, </v>
      </c>
      <c r="O77" s="44" t="str">
        <f aca="false">IF(O51="TERM","",IF(O51="NONE",REPT(" ",17),REPT(" ",15-LEN(O51))&amp;O51))&amp;IF(OR(O51="TERM",O51="NONE"),"",IF(P51="TERM","",IF(P51="",",",", ")))</f>
        <v>        KC_INT1,</v>
      </c>
    </row>
    <row r="78" customFormat="false" ht="21" hidden="false" customHeight="true" outlineLevel="0" collapsed="false">
      <c r="A78" s="34"/>
      <c r="B78" s="45" t="str">
        <f aca="false">IF(B52="TERM","",IF(B52="NONE",REPT(" ",17),REPT(" ",15-LEN(B52))&amp;B52))&amp;IF(OR(B52="TERM",B52="NONE"),"",IF(C52="TERM","",IF(C52="",",",", ")))</f>
        <v>                 </v>
      </c>
      <c r="C78" s="45" t="str">
        <f aca="false">IF(C52="TERM","",IF(C52="NONE",REPT(" ",17),REPT(" ",15-LEN(C52))&amp;C52))&amp;IF(OR(C52="TERM",C52="NONE"),"",IF(D52="TERM","",IF(D52="",",",", ")))</f>
        <v>                 </v>
      </c>
      <c r="D78" s="45" t="str">
        <f aca="false">IF(D52="TERM","",IF(D52="NONE",REPT(" ",17),REPT(" ",15-LEN(D52))&amp;D52))&amp;IF(OR(D52="TERM",D52="NONE"),"",IF(E52="TERM","",IF(E52="",",",", ")))</f>
        <v>                 </v>
      </c>
      <c r="E78" s="45" t="str">
        <f aca="false">IF(E52="TERM","",IF(E52="NONE",REPT(" ",17),REPT(" ",15-LEN(E52))&amp;E52))&amp;IF(OR(E52="TERM",E52="NONE"),"",IF(F52="TERM","",IF(F52="",",",", ")))</f>
        <v>                 </v>
      </c>
      <c r="F78" s="46" t="str">
        <f aca="false">IF(F52="TERM","",IF(F52="NONE",REPT(" ",17),REPT(" ",15-LEN(F52))&amp;F52))&amp;IF(OR(F52="TERM",F52="NONE"),"",IF(G52="TERM","",IF(G52="",",",", ")))</f>
        <v>        _______, </v>
      </c>
      <c r="G78" s="46" t="str">
        <f aca="false">IF(G52="TERM","",IF(G52="NONE",REPT(" ",17),REPT(" ",15-LEN(G52))&amp;G52))&amp;IF(OR(G52="TERM",G52="NONE"),"",IF(H52="TERM","",IF(H52="",",",", ")))</f>
        <v>        _______, </v>
      </c>
      <c r="H78" s="46" t="str">
        <f aca="false">IF(H52="TERM","",IF(H52="NONE",REPT(" ",17),REPT(" ",15-LEN(H52))&amp;H52))&amp;IF(OR(H52="TERM",H52="NONE"),"",IF(I52="TERM","",IF(I52="",",",", ")))</f>
        <v>        _______, </v>
      </c>
      <c r="I78" s="46" t="str">
        <f aca="false">IF(I52="TERM","",IF(I52="NONE",REPT(" ",17),REPT(" ",15-LEN(I52))&amp;I52))&amp;IF(OR(I52="TERM",I52="NONE"),"",IF(J52="TERM","",IF(J52="",",",", ")))</f>
        <v>        _______, </v>
      </c>
      <c r="J78" s="46" t="str">
        <f aca="false">IF(J52="TERM","",IF(J52="NONE",REPT(" ",17),REPT(" ",15-LEN(J52))&amp;J52))&amp;IF(OR(J52="TERM",J52="NONE"),"",IF(K52="TERM","",IF(K52="",",",", ")))</f>
        <v>        _______, </v>
      </c>
      <c r="K78" s="46" t="str">
        <f aca="false">IF(K52="TERM","",IF(K52="NONE",REPT(" ",17),REPT(" ",15-LEN(K52))&amp;K52))&amp;IF(OR(K52="TERM",K52="NONE"),"",IF(L52="TERM","",IF(L52="",",",", ")))</f>
        <v>        _______</v>
      </c>
      <c r="L78" s="45" t="str">
        <f aca="false">IF(L52="TERM","",IF(L52="NONE",REPT(" ",17),REPT(" ",15-LEN(L52))&amp;L52))&amp;IF(OR(L52="TERM",L52="NONE"),"",IF(M52="TERM","",IF(M52="",",",", ")))</f>
        <v/>
      </c>
      <c r="M78" s="45" t="str">
        <f aca="false">IF(M52="TERM","",IF(M52="NONE",REPT(" ",17),REPT(" ",15-LEN(M52))&amp;M52))&amp;IF(OR(M52="TERM",M52="NONE"),"",IF(N52="TERM","",IF(N52="",",",", ")))</f>
        <v/>
      </c>
      <c r="N78" s="45" t="str">
        <f aca="false">IF(N52="TERM","",IF(N52="NONE",REPT(" ",17),REPT(" ",15-LEN(N52))&amp;N52))&amp;IF(OR(N52="TERM",N52="NONE"),"",IF(O52="TERM","",IF(O52="",",",", ")))</f>
        <v/>
      </c>
      <c r="O78" s="47" t="str">
        <f aca="false">IF(O52="TERM","",IF(O52="NONE",REPT(" ",17),REPT(" ",15-LEN(O52))&amp;O52))&amp;IF(OR(O52="TERM",O52="NONE"),"",IF(P52="TERM","",IF(P52="",",",", ")))</f>
        <v/>
      </c>
    </row>
    <row r="79" customFormat="false" ht="21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customFormat="false" ht="21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customFormat="false" ht="21" hidden="false" customHeight="true" outlineLevel="0" collapsed="false">
      <c r="A81" s="26"/>
      <c r="B81" s="48" t="s">
        <v>322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9"/>
    </row>
    <row r="82" customFormat="false" ht="21" hidden="false" customHeight="true" outlineLevel="0" collapsed="false">
      <c r="A82" s="30" t="s">
        <v>316</v>
      </c>
      <c r="B82" s="50" t="str">
        <f aca="false">B55&amp;C55&amp;D55&amp;E55&amp;F55&amp;G55&amp;H55&amp;I55&amp;J55&amp;K55&amp;L55&amp;M55&amp;N55&amp;O55</f>
        <v>         KC_ESC,            KC_Q,            KC_W,            KC_E,            KC_R,            KC_T,                                              KC_Y,            KC_U,            KC_I,            KC_O,            KC_P,         KC_LBRC,</v>
      </c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1"/>
    </row>
    <row r="83" customFormat="false" ht="21" hidden="false" customHeight="true" outlineLevel="0" collapsed="false">
      <c r="A83" s="30"/>
      <c r="B83" s="50" t="str">
        <f aca="false">B56&amp;C56&amp;D56&amp;E56&amp;F56&amp;G56&amp;H56&amp;I56&amp;J56&amp;K56&amp;L56&amp;M56&amp;N56&amp;O56</f>
        <v>         KC_TAB,            KC_A,            KC_S,            KC_D,            KC_F,            KC_G,                                              KC_H,            KC_J,            KC_K,            KC_L,         KC_SCLN,         KC_QUOT,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1"/>
    </row>
    <row r="84" customFormat="false" ht="21" hidden="false" customHeight="true" outlineLevel="0" collapsed="false">
      <c r="A84" s="30"/>
      <c r="B84" s="50" t="str">
        <f aca="false">B57&amp;C57&amp;D57&amp;E57&amp;F57&amp;G57&amp;H57&amp;I57&amp;J57&amp;K57&amp;L57&amp;M57&amp;N57&amp;O57</f>
        <v>        KC_LCTL,            KC_Z,            KC_X,            KC_C,            KC_V,            KC_B,                                              KC_N,            KC_M,         KC_COMM,          KC_DOT,         KC_SLSH,         KC_INT1,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1"/>
    </row>
    <row r="85" customFormat="false" ht="21" hidden="false" customHeight="true" outlineLevel="0" collapsed="false">
      <c r="A85" s="30"/>
      <c r="B85" s="50" t="str">
        <f aca="false">B58&amp;C58&amp;D58&amp;E58&amp;F58&amp;G58&amp;H58&amp;I58&amp;J58&amp;K58&amp;L58&amp;M58&amp;N58&amp;O58</f>
        <v>                                                                               TG_R,            MO_R,        LSFT_SPC,        RSTF_ENT,            MO_L,            TG_L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1"/>
    </row>
    <row r="86" customFormat="false" ht="21" hidden="false" customHeight="true" outlineLevel="0" collapsed="false">
      <c r="A86" s="34"/>
      <c r="B86" s="52" t="str">
        <f aca="false">IF(B87&lt;&gt;"","),",")")</f>
        <v>),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customFormat="false" ht="21" hidden="false" customHeight="true" outlineLevel="0" collapsed="false">
      <c r="A87" s="26"/>
      <c r="B87" s="48" t="s">
        <v>323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9"/>
    </row>
    <row r="88" customFormat="false" ht="21" hidden="false" customHeight="true" outlineLevel="0" collapsed="false">
      <c r="A88" s="30" t="s">
        <v>317</v>
      </c>
      <c r="B88" s="50" t="str">
        <f aca="false">B59&amp;C59&amp;D59&amp;E59&amp;F59&amp;G59&amp;H59&amp;I59&amp;J59&amp;K59&amp;L59&amp;M59&amp;N59&amp;O59</f>
        <v>         KC_APP,         S(KC_1),         S(KC_2),         S(KC_3),         S(KC_4),         S(KC_5),                                           S(KC_6),         S(KC_7),         S(KC_8),         S(KC_9),         XXXXXXX,      S(KC_LBRC),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1"/>
    </row>
    <row r="89" customFormat="false" ht="21" hidden="false" customHeight="true" outlineLevel="0" collapsed="false">
      <c r="A89" s="30"/>
      <c r="B89" s="50" t="str">
        <f aca="false">B60&amp;C60&amp;D60&amp;E60&amp;F60&amp;G60&amp;H60&amp;I60&amp;J60&amp;K60&amp;L60&amp;M60&amp;N60&amp;O60</f>
        <v>        KC_LGUI,         XXXXXXX,         KC_HOME,         KC_PGUP,         KC_PGDN,          KC_END,                                           KC_LEFT,         KC_DOWN,           KC_UP,         KC_RGHT,          KC_EQL,         KC_MINS,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1"/>
    </row>
    <row r="90" customFormat="false" ht="21" hidden="false" customHeight="true" outlineLevel="0" collapsed="false">
      <c r="A90" s="30"/>
      <c r="B90" s="50" t="str">
        <f aca="false">B61&amp;C61&amp;D61&amp;E61&amp;F61&amp;G61&amp;H61&amp;I61&amp;J61&amp;K61&amp;L61&amp;M61&amp;N61&amp;O61</f>
        <v>        _______,         KC_LALT,         XXXXXXX,         XXXXXXX,         KC_INT5,         KC_BSPC,                                            KC_DEL,         KC_INT4,         KC_RBRC,         KC_BSLS,       S(KC_EQL),      S(KC_INT3),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1"/>
    </row>
    <row r="91" customFormat="false" ht="21" hidden="false" customHeight="true" outlineLevel="0" collapsed="false">
      <c r="A91" s="30"/>
      <c r="B91" s="50" t="str">
        <f aca="false">B62&amp;C62&amp;D62&amp;E62&amp;F62&amp;G62&amp;H62&amp;I62&amp;J62&amp;K62&amp;L62&amp;M62&amp;N62&amp;O62</f>
        <v>                                                                            _______,         _______,         _______,         _______,         _______,         _______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1"/>
    </row>
    <row r="92" customFormat="false" ht="21" hidden="false" customHeight="true" outlineLevel="0" collapsed="false">
      <c r="A92" s="34"/>
      <c r="B92" s="52" t="str">
        <f aca="false">IF(B93&lt;&gt;"","),",")")</f>
        <v>),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customFormat="false" ht="21" hidden="false" customHeight="true" outlineLevel="0" collapsed="false">
      <c r="A93" s="26"/>
      <c r="B93" s="48" t="s">
        <v>324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9"/>
    </row>
    <row r="94" customFormat="false" ht="21" hidden="false" customHeight="true" outlineLevel="0" collapsed="false">
      <c r="A94" s="30" t="s">
        <v>318</v>
      </c>
      <c r="B94" s="50" t="str">
        <f aca="false">B63&amp;C63&amp;D63&amp;E63&amp;F63&amp;G63&amp;H63&amp;I63&amp;J63&amp;K63&amp;L63&amp;M63&amp;N63&amp;O63</f>
        <v>          KC_F1,           KC_F2,           KC_F3,           KC_F4,           KC_F5,           KC_F6,                                             KC_F7,           KC_F8,           KC_F9,          KC_F10,          KC_F11,          KC_F12,</v>
      </c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1"/>
    </row>
    <row r="95" customFormat="false" ht="21" hidden="false" customHeight="true" outlineLevel="0" collapsed="false">
      <c r="A95" s="30"/>
      <c r="B95" s="50" t="str">
        <f aca="false">B64&amp;C64&amp;D64&amp;E64&amp;F64&amp;G64&amp;H64&amp;I64&amp;J64&amp;K64&amp;L64&amp;M64&amp;N64&amp;O64</f>
        <v>         KC_GRV,            KC_1,            KC_2,            KC_3,            KC_4,            KC_5,                                              KC_6,            KC_7,            KC_8,            KC_9,            KC_0,         _______,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1"/>
    </row>
    <row r="96" customFormat="false" ht="21" hidden="false" customHeight="true" outlineLevel="0" collapsed="false">
      <c r="A96" s="30"/>
      <c r="B96" s="50" t="str">
        <f aca="false">B65&amp;C65&amp;D65&amp;E65&amp;F65&amp;G65&amp;H65&amp;I65&amp;J65&amp;K65&amp;L65&amp;M65&amp;N65&amp;O65</f>
        <v>        _______,         _______,         MS_WHLL,         MS_WHLR,         _______,         _______,                                           _______,         _______,         KC_COMM,          KC_DOT,         KC_SLSH,         KC_INT1,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1"/>
    </row>
    <row r="97" customFormat="false" ht="21" hidden="false" customHeight="true" outlineLevel="0" collapsed="false">
      <c r="A97" s="30"/>
      <c r="B97" s="50" t="str">
        <f aca="false">B66&amp;C66&amp;D66&amp;E66&amp;F66&amp;G66&amp;H66&amp;I66&amp;J66&amp;K66&amp;L66&amp;M66&amp;N66&amp;O66</f>
        <v>                                                                            _______,         _______,         _______,         _______,         _______,         _______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1"/>
    </row>
    <row r="98" customFormat="false" ht="21" hidden="false" customHeight="true" outlineLevel="0" collapsed="false">
      <c r="A98" s="34"/>
      <c r="B98" s="52" t="str">
        <f aca="false">IF(B99&lt;&gt;"","),",")")</f>
        <v>),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customFormat="false" ht="21" hidden="false" customHeight="true" outlineLevel="0" collapsed="false">
      <c r="A99" s="26"/>
      <c r="B99" s="48" t="s">
        <v>325</v>
      </c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9"/>
    </row>
    <row r="100" customFormat="false" ht="21" hidden="false" customHeight="true" outlineLevel="0" collapsed="false">
      <c r="A100" s="30" t="s">
        <v>319</v>
      </c>
      <c r="B100" s="50" t="str">
        <f aca="false">B67&amp;C67&amp;D67&amp;E67&amp;F67&amp;G67&amp;H67&amp;I67&amp;J67&amp;K67&amp;L67&amp;M67&amp;N67&amp;O67</f>
        <v>         KC_ESC,            KC_Q,            KC_W,            KC_E,            KC_R,            KC_T,                                              KC_Y,            KC_U,            KC_I,            KC_O,            KC_P,         KC_LBRC,</v>
      </c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1"/>
    </row>
    <row r="101" customFormat="false" ht="21" hidden="false" customHeight="true" outlineLevel="0" collapsed="false">
      <c r="A101" s="30"/>
      <c r="B101" s="50" t="str">
        <f aca="false">B68&amp;C68&amp;D68&amp;E68&amp;F68&amp;G68&amp;H68&amp;I68&amp;J68&amp;K68&amp;L68&amp;M68&amp;N68&amp;O68</f>
        <v>         KC_TAB,            KC_A,            KC_S,            KC_D,            KC_F,            KC_G,                                              KC_H,            KC_J,            KC_K,            KC_L,         KC_SCLN,         KC_QUOT,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1"/>
    </row>
    <row r="102" customFormat="false" ht="21" hidden="false" customHeight="true" outlineLevel="0" collapsed="false">
      <c r="A102" s="30"/>
      <c r="B102" s="50" t="str">
        <f aca="false">B69&amp;C69&amp;D69&amp;E69&amp;F69&amp;G69&amp;H69&amp;I69&amp;J69&amp;K69&amp;L69&amp;M69&amp;N69&amp;O69</f>
        <v>        _______,            KC_Z,            KC_X,            KC_C,            KC_V,            KC_B,                                              KC_N,            KC_M,         _______,         _______,         _______,         _______,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1"/>
    </row>
    <row r="103" customFormat="false" ht="21" hidden="false" customHeight="true" outlineLevel="0" collapsed="false">
      <c r="A103" s="30"/>
      <c r="B103" s="50" t="str">
        <f aca="false">B70&amp;C70&amp;D70&amp;E70&amp;F70&amp;G70&amp;H70&amp;I70&amp;J70&amp;K70&amp;L70&amp;M70&amp;N70&amp;O70</f>
        <v>                                                                               TG_R,          KC_SPC,           MO_RA,           MO_LA,          KC_ENT,            TG_L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1"/>
    </row>
    <row r="104" customFormat="false" ht="21" hidden="false" customHeight="true" outlineLevel="0" collapsed="false">
      <c r="A104" s="34"/>
      <c r="B104" s="52" t="str">
        <f aca="false">IF(B105&lt;&gt;"","),",")")</f>
        <v>),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customFormat="false" ht="21" hidden="false" customHeight="true" outlineLevel="0" collapsed="false">
      <c r="A105" s="26"/>
      <c r="B105" s="48" t="s">
        <v>326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9"/>
    </row>
    <row r="106" customFormat="false" ht="21" hidden="false" customHeight="true" outlineLevel="0" collapsed="false">
      <c r="A106" s="30" t="s">
        <v>320</v>
      </c>
      <c r="B106" s="50" t="str">
        <f aca="false">B71&amp;C71&amp;D71&amp;E71&amp;F71&amp;G71&amp;H71&amp;I71&amp;J71&amp;K71&amp;L71&amp;M71&amp;N71&amp;O71</f>
        <v>        XXXXXXX,         S(KC_1),         S(KC_2),         S(KC_3),         S(KC_4),         S(KC_5),                                           S(KC_6),         S(KC_7),         S(KC_8),         S(KC_9),         XXXXXXX,      S(KC_LBRC),</v>
      </c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1"/>
    </row>
    <row r="107" customFormat="false" ht="21" hidden="false" customHeight="true" outlineLevel="0" collapsed="false">
      <c r="A107" s="30"/>
      <c r="B107" s="50" t="str">
        <f aca="false">B72&amp;C72&amp;D72&amp;E72&amp;F72&amp;G72&amp;H72&amp;I72&amp;J72&amp;K72&amp;L72&amp;M72&amp;N72&amp;O72</f>
        <v>        XXXXXXX,         XXXXXXX,         KC_HOME,         KC_PGUP,         KC_PGDN,          KC_END,                                           KC_LEFT,         KC_DOWN,           KC_UP,         KC_RGHT,          KC_EQL,         KC_MINS,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1"/>
    </row>
    <row r="108" customFormat="false" ht="21" hidden="false" customHeight="true" outlineLevel="0" collapsed="false">
      <c r="A108" s="30"/>
      <c r="B108" s="50" t="str">
        <f aca="false">B73&amp;C73&amp;D73&amp;E73&amp;F73&amp;G73&amp;H73&amp;I73&amp;J73&amp;K73&amp;L73&amp;M73&amp;N73&amp;O73</f>
        <v>        _______,         KC_LALT,         XXXXXXX,         XXXXXXX,         KC_INT5,         KC_BSPC,                                            KC_DEL,         KC_INT4,         KC_RBRC,         KC_BSLS,       S(KC_EQL),      S(KC_INT3),</v>
      </c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1"/>
    </row>
    <row r="109" customFormat="false" ht="21" hidden="false" customHeight="true" outlineLevel="0" collapsed="false">
      <c r="A109" s="30"/>
      <c r="B109" s="50" t="str">
        <f aca="false">B74&amp;C74&amp;D74&amp;E74&amp;F74&amp;G74&amp;H74&amp;I74&amp;J74&amp;K74&amp;L74&amp;M74&amp;N74&amp;O74</f>
        <v>                                                                            _______,         _______,         _______,         _______,         _______,         _______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1"/>
    </row>
    <row r="110" customFormat="false" ht="21" hidden="false" customHeight="true" outlineLevel="0" collapsed="false">
      <c r="A110" s="34"/>
      <c r="B110" s="52" t="str">
        <f aca="false">IF(B111&lt;&gt;"","),",")")</f>
        <v>),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customFormat="false" ht="21" hidden="false" customHeight="true" outlineLevel="0" collapsed="false">
      <c r="A111" s="26"/>
      <c r="B111" s="48" t="s">
        <v>327</v>
      </c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9"/>
    </row>
    <row r="112" customFormat="false" ht="21" hidden="false" customHeight="true" outlineLevel="0" collapsed="false">
      <c r="A112" s="30" t="s">
        <v>321</v>
      </c>
      <c r="B112" s="50" t="str">
        <f aca="false">B75&amp;C75&amp;D75&amp;E75&amp;F75&amp;G75&amp;H75&amp;I75&amp;J75&amp;K75&amp;L75&amp;M75&amp;N75&amp;O75</f>
        <v>          KC_F1,           KC_F2,           KC_F3,           KC_F4,           KC_F5,           KC_F6,                                             KC_F7,           KC_F8,           KC_F9,          KC_F10,          KC_F11,          KC_F12,</v>
      </c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1"/>
    </row>
    <row r="113" customFormat="false" ht="21" hidden="false" customHeight="true" outlineLevel="0" collapsed="false">
      <c r="A113" s="30"/>
      <c r="B113" s="50" t="str">
        <f aca="false">B76&amp;C76&amp;D76&amp;E76&amp;F76&amp;G76&amp;H76&amp;I76&amp;J76&amp;K76&amp;L76&amp;M76&amp;N76&amp;O76</f>
        <v>        XXXXXXX,            KC_1,            KC_2,            KC_3,            KC_4,            KC_5,                                              KC_6,            KC_7,            KC_8,            KC_9,            KC_0,         _______,</v>
      </c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1"/>
    </row>
    <row r="114" customFormat="false" ht="21" hidden="false" customHeight="true" outlineLevel="0" collapsed="false">
      <c r="A114" s="30"/>
      <c r="B114" s="50" t="str">
        <f aca="false">B77&amp;C77&amp;D77&amp;E77&amp;F77&amp;G77&amp;H77&amp;I77&amp;J77&amp;K77&amp;L77&amp;M77&amp;N77&amp;O77</f>
        <v>        _______,         _______,         KC_VOLD,         KC_VOLU,         _______,         _______,                                           _______,         _______,         KC_COMM,          KC_DOT,         KC_SLSH,         KC_INT1,</v>
      </c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1"/>
    </row>
    <row r="115" customFormat="false" ht="21" hidden="false" customHeight="true" outlineLevel="0" collapsed="false">
      <c r="A115" s="30"/>
      <c r="B115" s="50" t="str">
        <f aca="false">B78&amp;C78&amp;D78&amp;E78&amp;F78&amp;G78&amp;H78&amp;I78&amp;J78&amp;K78&amp;L78&amp;M78&amp;N78&amp;O78</f>
        <v>                                                                            _______,         _______,         _______,         _______,         _______,         _______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1"/>
    </row>
    <row r="116" customFormat="false" ht="21" hidden="false" customHeight="true" outlineLevel="0" collapsed="false">
      <c r="A116" s="34"/>
      <c r="B116" s="52" t="str">
        <f aca="false">IF(B117&lt;&gt;"","),",")")</f>
        <v>)</v>
      </c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2023-09-02T08:12:42Z</dcterms:created>
  <dc:creator/>
  <dc:description/>
  <dc:language>ja-JP</dc:language>
  <cp:lastModifiedBy/>
  <dcterms:modified xsi:type="dcterms:W3CDTF">2025-11-02T16:47:31Z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