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codes" sheetId="1" state="visible" r:id="rId3"/>
    <sheet name="yoc2" sheetId="2" state="visible" r:id="rId4"/>
  </sheets>
  <definedNames>
    <definedName function="false" hidden="false" localSheetId="1" name="_xlnm.Print_Area" vbProcedure="false">yoc2!$A$3:$O$54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吉井雄一</author>
  </authors>
  <commentList>
    <comment ref="D153" authorId="0">
      <text>
        <r>
          <rPr>
            <sz val="10"/>
            <rFont val="Arial"/>
            <family val="2"/>
          </rPr>
          <t xml:space="preserve">config </t>
        </r>
        <r>
          <rPr>
            <sz val="10"/>
            <rFont val="Noto Sans JP"/>
            <family val="2"/>
            <charset val="1"/>
          </rPr>
          <t xml:space="preserve">側で
</t>
        </r>
        <r>
          <rPr>
            <sz val="10"/>
            <rFont val="Arial"/>
            <family val="2"/>
            <charset val="1"/>
          </rPr>
          <t xml:space="preserve">#define TAPPING_TERM 150
#define PERMISSIVE_HOLD</t>
        </r>
      </text>
    </comment>
  </commentList>
</comments>
</file>

<file path=xl/sharedStrings.xml><?xml version="1.0" encoding="utf-8"?>
<sst xmlns="http://schemas.openxmlformats.org/spreadsheetml/2006/main" count="823" uniqueCount="330">
  <si>
    <t xml:space="preserve">日本語キー</t>
  </si>
  <si>
    <t xml:space="preserve">英語キー</t>
  </si>
  <si>
    <t xml:space="preserve">キーコード</t>
  </si>
  <si>
    <t xml:space="preserve">備考</t>
  </si>
  <si>
    <t xml:space="preserve">キーコードエイリアス</t>
  </si>
  <si>
    <t xml:space="preserve">NOOP</t>
  </si>
  <si>
    <t xml:space="preserve">XXXXXXX</t>
  </si>
  <si>
    <t xml:space="preserve">Transparent</t>
  </si>
  <si>
    <t xml:space="preserve">_______</t>
  </si>
  <si>
    <t xml:space="preserve">A</t>
  </si>
  <si>
    <t xml:space="preserve">KC_A</t>
  </si>
  <si>
    <t xml:space="preserve">B</t>
  </si>
  <si>
    <t xml:space="preserve">KC_B</t>
  </si>
  <si>
    <t xml:space="preserve">C</t>
  </si>
  <si>
    <t xml:space="preserve">KC_C</t>
  </si>
  <si>
    <t xml:space="preserve">D</t>
  </si>
  <si>
    <t xml:space="preserve">KC_D</t>
  </si>
  <si>
    <t xml:space="preserve">E</t>
  </si>
  <si>
    <t xml:space="preserve">KC_E</t>
  </si>
  <si>
    <t xml:space="preserve">F</t>
  </si>
  <si>
    <t xml:space="preserve">KC_F</t>
  </si>
  <si>
    <t xml:space="preserve">G</t>
  </si>
  <si>
    <t xml:space="preserve">KC_G</t>
  </si>
  <si>
    <t xml:space="preserve">H</t>
  </si>
  <si>
    <t xml:space="preserve">KC_H</t>
  </si>
  <si>
    <t xml:space="preserve">I</t>
  </si>
  <si>
    <t xml:space="preserve">KC_I</t>
  </si>
  <si>
    <t xml:space="preserve">J</t>
  </si>
  <si>
    <t xml:space="preserve">KC_J</t>
  </si>
  <si>
    <t xml:space="preserve">K</t>
  </si>
  <si>
    <t xml:space="preserve">KC_K</t>
  </si>
  <si>
    <t xml:space="preserve">L</t>
  </si>
  <si>
    <t xml:space="preserve">KC_L</t>
  </si>
  <si>
    <t xml:space="preserve">M</t>
  </si>
  <si>
    <t xml:space="preserve">KC_M</t>
  </si>
  <si>
    <t xml:space="preserve">N</t>
  </si>
  <si>
    <t xml:space="preserve">KC_N</t>
  </si>
  <si>
    <t xml:space="preserve">O</t>
  </si>
  <si>
    <t xml:space="preserve">KC_O</t>
  </si>
  <si>
    <t xml:space="preserve">P</t>
  </si>
  <si>
    <t xml:space="preserve">KC_P</t>
  </si>
  <si>
    <t xml:space="preserve">Q</t>
  </si>
  <si>
    <t xml:space="preserve">KC_Q</t>
  </si>
  <si>
    <t xml:space="preserve">R</t>
  </si>
  <si>
    <t xml:space="preserve">KC_R</t>
  </si>
  <si>
    <t xml:space="preserve">S</t>
  </si>
  <si>
    <t xml:space="preserve">KC_S</t>
  </si>
  <si>
    <t xml:space="preserve">T</t>
  </si>
  <si>
    <t xml:space="preserve">KC_T</t>
  </si>
  <si>
    <t xml:space="preserve">U</t>
  </si>
  <si>
    <t xml:space="preserve">KC_U</t>
  </si>
  <si>
    <t xml:space="preserve">V</t>
  </si>
  <si>
    <t xml:space="preserve">KC_V</t>
  </si>
  <si>
    <t xml:space="preserve">W</t>
  </si>
  <si>
    <t xml:space="preserve">KC_W</t>
  </si>
  <si>
    <t xml:space="preserve">X</t>
  </si>
  <si>
    <t xml:space="preserve">KC_X</t>
  </si>
  <si>
    <t xml:space="preserve">Y</t>
  </si>
  <si>
    <t xml:space="preserve">KC_Y</t>
  </si>
  <si>
    <t xml:space="preserve">Z</t>
  </si>
  <si>
    <t xml:space="preserve">KC_Z</t>
  </si>
  <si>
    <t xml:space="preserve">KC_1</t>
  </si>
  <si>
    <t xml:space="preserve">KC_2</t>
  </si>
  <si>
    <t xml:space="preserve">KC_3</t>
  </si>
  <si>
    <t xml:space="preserve">KC_4</t>
  </si>
  <si>
    <t xml:space="preserve">KC_5</t>
  </si>
  <si>
    <t xml:space="preserve">KC_6</t>
  </si>
  <si>
    <t xml:space="preserve">KC_7</t>
  </si>
  <si>
    <t xml:space="preserve">KC_8</t>
  </si>
  <si>
    <t xml:space="preserve">KC_9</t>
  </si>
  <si>
    <t xml:space="preserve">KC_0</t>
  </si>
  <si>
    <t xml:space="preserve">F1</t>
  </si>
  <si>
    <t xml:space="preserve">KC_F1</t>
  </si>
  <si>
    <t xml:space="preserve">F2</t>
  </si>
  <si>
    <t xml:space="preserve">KC_F2</t>
  </si>
  <si>
    <t xml:space="preserve">F3</t>
  </si>
  <si>
    <t xml:space="preserve">KC_F3</t>
  </si>
  <si>
    <t xml:space="preserve">F4</t>
  </si>
  <si>
    <t xml:space="preserve">KC_F4</t>
  </si>
  <si>
    <t xml:space="preserve">F5</t>
  </si>
  <si>
    <t xml:space="preserve">KC_F5</t>
  </si>
  <si>
    <t xml:space="preserve">F6</t>
  </si>
  <si>
    <t xml:space="preserve">KC_F6</t>
  </si>
  <si>
    <t xml:space="preserve">F7</t>
  </si>
  <si>
    <t xml:space="preserve">KC_F7</t>
  </si>
  <si>
    <t xml:space="preserve">F8</t>
  </si>
  <si>
    <t xml:space="preserve">KC_F8</t>
  </si>
  <si>
    <t xml:space="preserve">F9</t>
  </si>
  <si>
    <t xml:space="preserve">KC_F9</t>
  </si>
  <si>
    <t xml:space="preserve">F10</t>
  </si>
  <si>
    <t xml:space="preserve">KC_F10</t>
  </si>
  <si>
    <t xml:space="preserve">F11</t>
  </si>
  <si>
    <t xml:space="preserve">KC_F11</t>
  </si>
  <si>
    <t xml:space="preserve">F12</t>
  </si>
  <si>
    <t xml:space="preserve">KC_F12</t>
  </si>
  <si>
    <t xml:space="preserve">Enter</t>
  </si>
  <si>
    <t xml:space="preserve">KC_ENT</t>
  </si>
  <si>
    <t xml:space="preserve">Esc</t>
  </si>
  <si>
    <t xml:space="preserve">KC_ESC</t>
  </si>
  <si>
    <t xml:space="preserve">Backspace</t>
  </si>
  <si>
    <t xml:space="preserve">KC_BSPC</t>
  </si>
  <si>
    <t xml:space="preserve">Tab</t>
  </si>
  <si>
    <t xml:space="preserve">KC_TAB</t>
  </si>
  <si>
    <t xml:space="preserve">Space</t>
  </si>
  <si>
    <t xml:space="preserve">KC_SPC</t>
  </si>
  <si>
    <t xml:space="preserve">Delete</t>
  </si>
  <si>
    <t xml:space="preserve">KC_DEL</t>
  </si>
  <si>
    <t xml:space="preserve">Home</t>
  </si>
  <si>
    <t xml:space="preserve">KC_HOME</t>
  </si>
  <si>
    <t xml:space="preserve">Page Up</t>
  </si>
  <si>
    <t xml:space="preserve">KC_PGUP</t>
  </si>
  <si>
    <t xml:space="preserve">Page Down</t>
  </si>
  <si>
    <t xml:space="preserve">KC_PGDN</t>
  </si>
  <si>
    <t xml:space="preserve">End</t>
  </si>
  <si>
    <t xml:space="preserve">KC_END</t>
  </si>
  <si>
    <t xml:space="preserve">Left Arrow</t>
  </si>
  <si>
    <t xml:space="preserve">KC_LEFT</t>
  </si>
  <si>
    <t xml:space="preserve">Down Arrow</t>
  </si>
  <si>
    <t xml:space="preserve">KC_DOWN</t>
  </si>
  <si>
    <t xml:space="preserve">Up Arrow</t>
  </si>
  <si>
    <t xml:space="preserve">KC_UP</t>
  </si>
  <si>
    <t xml:space="preserve">Right Arrow</t>
  </si>
  <si>
    <t xml:space="preserve">KC_RGHT</t>
  </si>
  <si>
    <t xml:space="preserve">Left Control</t>
  </si>
  <si>
    <t xml:space="preserve">KC_LCTL</t>
  </si>
  <si>
    <t xml:space="preserve">Left Shift</t>
  </si>
  <si>
    <t xml:space="preserve">KC_LSFT</t>
  </si>
  <si>
    <t xml:space="preserve">Left Alt</t>
  </si>
  <si>
    <t xml:space="preserve">KC_LALT</t>
  </si>
  <si>
    <t xml:space="preserve">Left GUI</t>
  </si>
  <si>
    <t xml:space="preserve">KC_LGUI</t>
  </si>
  <si>
    <t xml:space="preserve">Windows</t>
  </si>
  <si>
    <t xml:space="preserve">Right Control</t>
  </si>
  <si>
    <t xml:space="preserve">KC_RCTL</t>
  </si>
  <si>
    <t xml:space="preserve">Right Shift</t>
  </si>
  <si>
    <t xml:space="preserve">KC_RSFT</t>
  </si>
  <si>
    <t xml:space="preserve">Right Alt</t>
  </si>
  <si>
    <t xml:space="preserve">KC_RALT</t>
  </si>
  <si>
    <t xml:space="preserve">Right GUI</t>
  </si>
  <si>
    <t xml:space="preserve">KC_RGUI</t>
  </si>
  <si>
    <t xml:space="preserve">APP</t>
  </si>
  <si>
    <t xml:space="preserve">KC_APP</t>
  </si>
  <si>
    <t xml:space="preserve">コンテキスト</t>
  </si>
  <si>
    <t xml:space="preserve">-</t>
  </si>
  <si>
    <t xml:space="preserve">KC_MINS</t>
  </si>
  <si>
    <t xml:space="preserve">@</t>
  </si>
  <si>
    <t xml:space="preserve">[</t>
  </si>
  <si>
    <t xml:space="preserve">KC_LBRC</t>
  </si>
  <si>
    <t xml:space="preserve">;</t>
  </si>
  <si>
    <t xml:space="preserve">KC_SCLN</t>
  </si>
  <si>
    <t xml:space="preserve">:</t>
  </si>
  <si>
    <t xml:space="preserve">'</t>
  </si>
  <si>
    <t xml:space="preserve">KC_QUOT</t>
  </si>
  <si>
    <t xml:space="preserve">,</t>
  </si>
  <si>
    <t xml:space="preserve">KC_COMM</t>
  </si>
  <si>
    <t xml:space="preserve">.</t>
  </si>
  <si>
    <t xml:space="preserve">KC_DOT</t>
  </si>
  <si>
    <t xml:space="preserve">/</t>
  </si>
  <si>
    <t xml:space="preserve">KC_SLSH</t>
  </si>
  <si>
    <t xml:space="preserve">\</t>
  </si>
  <si>
    <t xml:space="preserve">KC_RO</t>
  </si>
  <si>
    <t xml:space="preserve">アンダースコア</t>
  </si>
  <si>
    <t xml:space="preserve">KC_INT1</t>
  </si>
  <si>
    <t xml:space="preserve">]</t>
  </si>
  <si>
    <t xml:space="preserve">KC_RBRC</t>
  </si>
  <si>
    <t xml:space="preserve">KC_BSLS</t>
  </si>
  <si>
    <t xml:space="preserve">^</t>
  </si>
  <si>
    <t xml:space="preserve">=</t>
  </si>
  <si>
    <t xml:space="preserve">KC_EQL</t>
  </si>
  <si>
    <t xml:space="preserve">KC_JYEN</t>
  </si>
  <si>
    <t xml:space="preserve">パイプ</t>
  </si>
  <si>
    <t xml:space="preserve">KC_INT3</t>
  </si>
  <si>
    <t xml:space="preserve">半角/全角</t>
  </si>
  <si>
    <t xml:space="preserve">KC_GRV</t>
  </si>
  <si>
    <t xml:space="preserve">無変換</t>
  </si>
  <si>
    <t xml:space="preserve">KC_MHEN</t>
  </si>
  <si>
    <t xml:space="preserve">KC_INT5</t>
  </si>
  <si>
    <t xml:space="preserve">変換</t>
  </si>
  <si>
    <t xml:space="preserve">KC_HENK</t>
  </si>
  <si>
    <t xml:space="preserve">KC_INT4</t>
  </si>
  <si>
    <t xml:space="preserve">Volume Up</t>
  </si>
  <si>
    <t xml:space="preserve">KC_VOLU</t>
  </si>
  <si>
    <t xml:space="preserve">Volume Down</t>
  </si>
  <si>
    <t xml:space="preserve">KC_VOLD</t>
  </si>
  <si>
    <t xml:space="preserve">その他</t>
  </si>
  <si>
    <t xml:space="preserve">Print Screen</t>
  </si>
  <si>
    <t xml:space="preserve">KC_PSCR</t>
  </si>
  <si>
    <t xml:space="preserve">Windows Context</t>
  </si>
  <si>
    <t xml:space="preserve">Menu</t>
  </si>
  <si>
    <t xml:space="preserve">KC_MENU</t>
  </si>
  <si>
    <t xml:space="preserve">Select</t>
  </si>
  <si>
    <t xml:space="preserve">KC_SLCT</t>
  </si>
  <si>
    <t xml:space="preserve">Stop</t>
  </si>
  <si>
    <t xml:space="preserve">KC_STOP</t>
  </si>
  <si>
    <t xml:space="preserve">Again</t>
  </si>
  <si>
    <t xml:space="preserve">KC_AGIN</t>
  </si>
  <si>
    <t xml:space="preserve">Undo</t>
  </si>
  <si>
    <t xml:space="preserve">KC_UNDO</t>
  </si>
  <si>
    <t xml:space="preserve">Cut</t>
  </si>
  <si>
    <t xml:space="preserve">KC_CUT</t>
  </si>
  <si>
    <t xml:space="preserve">Copy</t>
  </si>
  <si>
    <t xml:space="preserve">KC_COPY</t>
  </si>
  <si>
    <t xml:space="preserve">Paste</t>
  </si>
  <si>
    <t xml:space="preserve">KC_PSTE</t>
  </si>
  <si>
    <t xml:space="preserve">Find</t>
  </si>
  <si>
    <t xml:space="preserve">KC_FIND</t>
  </si>
  <si>
    <t xml:space="preserve">C Undo</t>
  </si>
  <si>
    <t xml:space="preserve">C(KC_Z)</t>
  </si>
  <si>
    <t xml:space="preserve">C Cut</t>
  </si>
  <si>
    <t xml:space="preserve">C(KC_X)</t>
  </si>
  <si>
    <t xml:space="preserve">C Copy</t>
  </si>
  <si>
    <t xml:space="preserve">C(KC_C)</t>
  </si>
  <si>
    <t xml:space="preserve">C Paste</t>
  </si>
  <si>
    <t xml:space="preserve">C(KC_V)</t>
  </si>
  <si>
    <t xml:space="preserve">C Find</t>
  </si>
  <si>
    <t xml:space="preserve">C(KC_F)</t>
  </si>
  <si>
    <t xml:space="preserve">S !</t>
  </si>
  <si>
    <t xml:space="preserve">S(KC_1)</t>
  </si>
  <si>
    <t xml:space="preserve">S "</t>
  </si>
  <si>
    <t xml:space="preserve">S(KC_2)</t>
  </si>
  <si>
    <t xml:space="preserve">S #</t>
  </si>
  <si>
    <t xml:space="preserve">S(KC_3)</t>
  </si>
  <si>
    <t xml:space="preserve">S $</t>
  </si>
  <si>
    <t xml:space="preserve">S(KC_4)</t>
  </si>
  <si>
    <t xml:space="preserve">S %</t>
  </si>
  <si>
    <t xml:space="preserve">S(KC_5)</t>
  </si>
  <si>
    <t xml:space="preserve">S &amp;</t>
  </si>
  <si>
    <t xml:space="preserve">S(KC_6)</t>
  </si>
  <si>
    <t xml:space="preserve">S '</t>
  </si>
  <si>
    <t xml:space="preserve">S(KC_7)</t>
  </si>
  <si>
    <t xml:space="preserve">S (</t>
  </si>
  <si>
    <t xml:space="preserve">S(KC_8)</t>
  </si>
  <si>
    <t xml:space="preserve">S )</t>
  </si>
  <si>
    <t xml:space="preserve">S(KC_9)</t>
  </si>
  <si>
    <t xml:space="preserve">S =</t>
  </si>
  <si>
    <t xml:space="preserve">S(KC_MINS)</t>
  </si>
  <si>
    <t xml:space="preserve">S Tilde</t>
  </si>
  <si>
    <t xml:space="preserve">S(KC_EQL)</t>
  </si>
  <si>
    <t xml:space="preserve">~</t>
  </si>
  <si>
    <t xml:space="preserve">S |</t>
  </si>
  <si>
    <t xml:space="preserve">S(KC_JYEN)</t>
  </si>
  <si>
    <t xml:space="preserve">S(KC_INT3)</t>
  </si>
  <si>
    <t xml:space="preserve">S `</t>
  </si>
  <si>
    <t xml:space="preserve">S(KC_LBRC)</t>
  </si>
  <si>
    <t xml:space="preserve">S +</t>
  </si>
  <si>
    <t xml:space="preserve">S(KC_SCLN)</t>
  </si>
  <si>
    <t xml:space="preserve">S Ast</t>
  </si>
  <si>
    <t xml:space="preserve">S(KC_QUOT)</t>
  </si>
  <si>
    <t xml:space="preserve">*</t>
  </si>
  <si>
    <t xml:space="preserve">S &lt;</t>
  </si>
  <si>
    <t xml:space="preserve">S(KC_COMM)</t>
  </si>
  <si>
    <t xml:space="preserve">S &gt;</t>
  </si>
  <si>
    <t xml:space="preserve">S(KC_DOT)</t>
  </si>
  <si>
    <t xml:space="preserve">S Ques</t>
  </si>
  <si>
    <t xml:space="preserve">S(KC_SLSH)</t>
  </si>
  <si>
    <t xml:space="preserve">?</t>
  </si>
  <si>
    <t xml:space="preserve">S _</t>
  </si>
  <si>
    <t xml:space="preserve">S(KC_RO)</t>
  </si>
  <si>
    <t xml:space="preserve">S(KC_INT1)</t>
  </si>
  <si>
    <t xml:space="preserve">S {</t>
  </si>
  <si>
    <t xml:space="preserve">S(KC_RBRC)</t>
  </si>
  <si>
    <t xml:space="preserve">S }</t>
  </si>
  <si>
    <t xml:space="preserve">S(KC_BSLS)</t>
  </si>
  <si>
    <t xml:space="preserve">W &lt;</t>
  </si>
  <si>
    <t xml:space="preserve">SGUI(KC_LEFT)</t>
  </si>
  <si>
    <t xml:space="preserve">アクティブウィンドウを左のディスプレイへ移動</t>
  </si>
  <si>
    <t xml:space="preserve">W &gt;</t>
  </si>
  <si>
    <t xml:space="preserve">SGUI(KC_RIGHT)</t>
  </si>
  <si>
    <t xml:space="preserve">アクティブウィンドウを右のディスプレイへ移動</t>
  </si>
  <si>
    <t xml:space="preserve">TERM</t>
  </si>
  <si>
    <t xml:space="preserve">レイアウト定義の末尾</t>
  </si>
  <si>
    <t xml:space="preserve">NONE</t>
  </si>
  <si>
    <t xml:space="preserve">キーが存在しないセル</t>
  </si>
  <si>
    <t xml:space="preserve">マウスキー</t>
  </si>
  <si>
    <t xml:space="preserve">Wheel Up</t>
  </si>
  <si>
    <t xml:space="preserve">MS_WHLU</t>
  </si>
  <si>
    <t xml:space="preserve">Wheel Down</t>
  </si>
  <si>
    <t xml:space="preserve">MS_WHLD</t>
  </si>
  <si>
    <t xml:space="preserve">Wheel Left</t>
  </si>
  <si>
    <t xml:space="preserve">MS_WHLL</t>
  </si>
  <si>
    <t xml:space="preserve">Wheel Right</t>
  </si>
  <si>
    <t xml:space="preserve">MS_WHLR</t>
  </si>
  <si>
    <t xml:space="preserve">レイヤー</t>
  </si>
  <si>
    <t xml:space="preserve">MoLower</t>
  </si>
  <si>
    <t xml:space="preserve">MO_L</t>
  </si>
  <si>
    <t xml:space="preserve">#define MO_L MO(_LOWER)</t>
  </si>
  <si>
    <t xml:space="preserve">MoRaise</t>
  </si>
  <si>
    <t xml:space="preserve">MO_R</t>
  </si>
  <si>
    <t xml:space="preserve">#define MO_R MO(_RAISE)</t>
  </si>
  <si>
    <t xml:space="preserve">ToggleLower</t>
  </si>
  <si>
    <t xml:space="preserve">TG_L</t>
  </si>
  <si>
    <t xml:space="preserve">#define TG_L TG(_LOWER)</t>
  </si>
  <si>
    <t xml:space="preserve">ToggleRaise</t>
  </si>
  <si>
    <t xml:space="preserve">TG_R</t>
  </si>
  <si>
    <t xml:space="preserve">#define TG_R TG(_RAISE)</t>
  </si>
  <si>
    <t xml:space="preserve">MoLowerAdjust</t>
  </si>
  <si>
    <t xml:space="preserve">MO_LA</t>
  </si>
  <si>
    <t xml:space="preserve">#define MO_L MO(_LOWER_ADJUST)</t>
  </si>
  <si>
    <t xml:space="preserve">MoRaiseAdjust</t>
  </si>
  <si>
    <t xml:space="preserve">MO_RA</t>
  </si>
  <si>
    <t xml:space="preserve">#define MO_R MO(_RAISE_ADJUST)</t>
  </si>
  <si>
    <t xml:space="preserve">長押し</t>
  </si>
  <si>
    <t xml:space="preserve">Shift &amp; Enter</t>
  </si>
  <si>
    <t xml:space="preserve">RSTF_ENT</t>
  </si>
  <si>
    <t xml:space="preserve">#define LSFT_SPC LSFT_T(KC_SPC)</t>
  </si>
  <si>
    <t xml:space="preserve">Shift &amp; Space</t>
  </si>
  <si>
    <t xml:space="preserve">LSFT_SPC</t>
  </si>
  <si>
    <t xml:space="preserve">#define RSTF_ENT RSFT_T(KC_ENT)</t>
  </si>
  <si>
    <t xml:space="preserve">タップダンス</t>
  </si>
  <si>
    <t xml:space="preserve">Tap dance Lower</t>
  </si>
  <si>
    <t xml:space="preserve">TD_TL</t>
  </si>
  <si>
    <t xml:space="preserve">enum {
  TD_TO_LOWER = 0,
};
#define TD_TL TD(TD_TO_LOWER)</t>
  </si>
  <si>
    <t xml:space="preserve">Tap dance Raise</t>
  </si>
  <si>
    <t xml:space="preserve">TD_TR</t>
  </si>
  <si>
    <t xml:space="preserve">enum {
  TD_TO_RAISE = 0,
};
#define TD_TL TD(TD_TO_RAISE)</t>
  </si>
  <si>
    <t xml:space="preserve">Japanese</t>
  </si>
  <si>
    <t xml:space="preserve">DEFAULT</t>
  </si>
  <si>
    <t xml:space="preserve">LOWER</t>
  </si>
  <si>
    <t xml:space="preserve">RAISE</t>
  </si>
  <si>
    <t xml:space="preserve">ADJUST</t>
  </si>
  <si>
    <t xml:space="preserve">LOWER_ADJUST</t>
  </si>
  <si>
    <t xml:space="preserve">RAISE_ADJUST</t>
  </si>
  <si>
    <t xml:space="preserve">[_QWERTY] = LAYOUT(</t>
  </si>
  <si>
    <t xml:space="preserve">),</t>
  </si>
  <si>
    <t xml:space="preserve">[_LOWER] = LAYOUT(</t>
  </si>
  <si>
    <t xml:space="preserve">[_RAISE] = LAYOUT(</t>
  </si>
  <si>
    <t xml:space="preserve">[_ADJUST] = LAYOUT(</t>
  </si>
  <si>
    <t xml:space="preserve">[_LOWER_ADJUST] = LAYOUT(</t>
  </si>
  <si>
    <t xml:space="preserve">[_RAISE_ADJUST] = LAYOUT(</t>
  </si>
  <si>
    <t xml:space="preserve">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</si>
</sst>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"/>
      <family val="0"/>
      <charset val="1"/>
    </font>
    <font>
      <sz val="10"/>
      <color theme="1"/>
      <name val="游ゴシック"/>
      <family val="2"/>
      <charset val="1"/>
    </font>
    <font>
      <sz val="10"/>
      <name val="Arial"/>
      <family val="2"/>
    </font>
    <font>
      <sz val="10"/>
      <name val="Noto Sans JP"/>
      <family val="2"/>
      <charset val="1"/>
    </font>
    <font>
      <sz val="10"/>
      <name val="Arial"/>
      <family val="2"/>
      <charset val="1"/>
    </font>
    <font>
      <sz val="9"/>
      <color theme="1"/>
      <name val="ＭＳ ゴシック"/>
      <family val="3"/>
      <charset val="128"/>
    </font>
    <font>
      <sz val="9"/>
      <color theme="1"/>
      <name val="ＭＳ ゴシック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theme="8" tint="0.5999"/>
        <bgColor rgb="FFC5E0B4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dotted"/>
      <top style="thin"/>
      <bottom style="hair"/>
      <diagonal/>
    </border>
    <border diagonalUp="false" diagonalDown="false">
      <left style="dotted"/>
      <right style="dotted"/>
      <top style="thin"/>
      <bottom style="hair"/>
      <diagonal/>
    </border>
    <border diagonalUp="false" diagonalDown="false">
      <left style="dotted"/>
      <right style="thin"/>
      <top style="thin"/>
      <bottom style="hair"/>
      <diagonal/>
    </border>
    <border diagonalUp="false" diagonalDown="false">
      <left style="thin"/>
      <right style="dotted"/>
      <top style="hair"/>
      <bottom style="hair"/>
      <diagonal/>
    </border>
    <border diagonalUp="false" diagonalDown="false">
      <left style="dotted"/>
      <right style="dotted"/>
      <top style="hair"/>
      <bottom style="hair"/>
      <diagonal/>
    </border>
    <border diagonalUp="false" diagonalDown="false">
      <left style="dotted"/>
      <right style="thin"/>
      <top style="hair"/>
      <bottom style="hair"/>
      <diagonal/>
    </border>
    <border diagonalUp="false" diagonalDown="false">
      <left style="dotted"/>
      <right style="dotted"/>
      <top style="hair"/>
      <bottom/>
      <diagonal/>
    </border>
    <border diagonalUp="false" diagonalDown="false">
      <left style="dotted"/>
      <right style="thin"/>
      <top style="hair"/>
      <bottom/>
      <diagonal/>
    </border>
    <border diagonalUp="false" diagonalDown="false">
      <left style="thin"/>
      <right style="dotted"/>
      <top style="hair"/>
      <bottom style="thin"/>
      <diagonal/>
    </border>
    <border diagonalUp="false" diagonalDown="false">
      <left style="dotted"/>
      <right style="dotted"/>
      <top style="hair"/>
      <bottom style="thin"/>
      <diagonal/>
    </border>
    <border diagonalUp="false" diagonalDown="false">
      <left style="dotted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dotted"/>
      <top style="hair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4"/>
  <sheetViews>
    <sheetView showFormulas="false" showGridLines="true" showRowColHeaders="true" showZeros="true" rightToLeft="false" tabSelected="false" showOutlineSymbols="true" defaultGridColor="true" view="normal" topLeftCell="A66" colorId="64" zoomScale="100" zoomScaleNormal="100" zoomScalePageLayoutView="100" workbookViewId="0">
      <selection pane="topLeft" activeCell="C82" activeCellId="0" sqref="C82"/>
    </sheetView>
  </sheetViews>
  <sheetFormatPr defaultColWidth="9.00390625" defaultRowHeight="18.75" customHeight="true" zeroHeight="false" outlineLevelRow="0" outlineLevelCol="0"/>
  <cols>
    <col collapsed="false" customWidth="true" hidden="false" outlineLevel="0" max="2" min="1" style="1" width="17.43"/>
    <col collapsed="false" customWidth="true" hidden="false" outlineLevel="0" max="3" min="3" style="1" width="14.28"/>
    <col collapsed="false" customWidth="true" hidden="false" outlineLevel="0" max="4" min="4" style="1" width="36.71"/>
    <col collapsed="false" customWidth="true" hidden="false" outlineLevel="0" max="5" min="5" style="1" width="19.84"/>
    <col collapsed="false" customWidth="false" hidden="false" outlineLevel="0" max="16384" min="6" style="1" width="9"/>
  </cols>
  <sheetData>
    <row r="1" customFormat="false" ht="18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8.75" hidden="false" customHeight="false" outlineLevel="0" collapsed="false">
      <c r="A2" s="5" t="s">
        <v>5</v>
      </c>
      <c r="B2" s="6" t="s">
        <v>5</v>
      </c>
      <c r="C2" s="6" t="s">
        <v>6</v>
      </c>
      <c r="D2" s="7"/>
      <c r="E2" s="8"/>
    </row>
    <row r="3" customFormat="false" ht="18.75" hidden="false" customHeight="false" outlineLevel="0" collapsed="false">
      <c r="A3" s="5" t="s">
        <v>7</v>
      </c>
      <c r="B3" s="6" t="s">
        <v>7</v>
      </c>
      <c r="C3" s="6" t="s">
        <v>8</v>
      </c>
      <c r="D3" s="7"/>
      <c r="E3" s="8"/>
    </row>
    <row r="4" customFormat="false" ht="18.75" hidden="false" customHeight="false" outlineLevel="0" collapsed="false">
      <c r="A4" s="5" t="s">
        <v>9</v>
      </c>
      <c r="B4" s="6" t="s">
        <v>9</v>
      </c>
      <c r="C4" s="6" t="s">
        <v>10</v>
      </c>
      <c r="D4" s="7"/>
      <c r="E4" s="8"/>
    </row>
    <row r="5" customFormat="false" ht="18.75" hidden="false" customHeight="false" outlineLevel="0" collapsed="false">
      <c r="A5" s="5" t="s">
        <v>11</v>
      </c>
      <c r="B5" s="6" t="s">
        <v>11</v>
      </c>
      <c r="C5" s="6" t="s">
        <v>12</v>
      </c>
      <c r="D5" s="7"/>
      <c r="E5" s="8"/>
    </row>
    <row r="6" customFormat="false" ht="18.75" hidden="false" customHeight="false" outlineLevel="0" collapsed="false">
      <c r="A6" s="5" t="s">
        <v>13</v>
      </c>
      <c r="B6" s="6" t="s">
        <v>13</v>
      </c>
      <c r="C6" s="6" t="s">
        <v>14</v>
      </c>
      <c r="D6" s="7"/>
      <c r="E6" s="8"/>
    </row>
    <row r="7" customFormat="false" ht="18.75" hidden="false" customHeight="false" outlineLevel="0" collapsed="false">
      <c r="A7" s="5" t="s">
        <v>15</v>
      </c>
      <c r="B7" s="6" t="s">
        <v>15</v>
      </c>
      <c r="C7" s="6" t="s">
        <v>16</v>
      </c>
      <c r="D7" s="7"/>
      <c r="E7" s="8"/>
    </row>
    <row r="8" customFormat="false" ht="18.75" hidden="false" customHeight="false" outlineLevel="0" collapsed="false">
      <c r="A8" s="5" t="s">
        <v>17</v>
      </c>
      <c r="B8" s="6" t="s">
        <v>17</v>
      </c>
      <c r="C8" s="6" t="s">
        <v>18</v>
      </c>
      <c r="D8" s="7"/>
      <c r="E8" s="8"/>
    </row>
    <row r="9" customFormat="false" ht="18.75" hidden="false" customHeight="false" outlineLevel="0" collapsed="false">
      <c r="A9" s="5" t="s">
        <v>19</v>
      </c>
      <c r="B9" s="6" t="s">
        <v>19</v>
      </c>
      <c r="C9" s="6" t="s">
        <v>20</v>
      </c>
      <c r="D9" s="7"/>
      <c r="E9" s="8"/>
    </row>
    <row r="10" customFormat="false" ht="18.75" hidden="false" customHeight="false" outlineLevel="0" collapsed="false">
      <c r="A10" s="5" t="s">
        <v>21</v>
      </c>
      <c r="B10" s="6" t="s">
        <v>21</v>
      </c>
      <c r="C10" s="6" t="s">
        <v>22</v>
      </c>
      <c r="D10" s="7"/>
      <c r="E10" s="8"/>
    </row>
    <row r="11" customFormat="false" ht="18.75" hidden="false" customHeight="false" outlineLevel="0" collapsed="false">
      <c r="A11" s="5" t="s">
        <v>23</v>
      </c>
      <c r="B11" s="6" t="s">
        <v>23</v>
      </c>
      <c r="C11" s="6" t="s">
        <v>24</v>
      </c>
      <c r="D11" s="7"/>
      <c r="E11" s="8"/>
    </row>
    <row r="12" customFormat="false" ht="18.75" hidden="false" customHeight="false" outlineLevel="0" collapsed="false">
      <c r="A12" s="5" t="s">
        <v>25</v>
      </c>
      <c r="B12" s="6" t="s">
        <v>25</v>
      </c>
      <c r="C12" s="6" t="s">
        <v>26</v>
      </c>
      <c r="D12" s="7"/>
      <c r="E12" s="8"/>
    </row>
    <row r="13" customFormat="false" ht="18.75" hidden="false" customHeight="false" outlineLevel="0" collapsed="false">
      <c r="A13" s="5" t="s">
        <v>27</v>
      </c>
      <c r="B13" s="6" t="s">
        <v>27</v>
      </c>
      <c r="C13" s="6" t="s">
        <v>28</v>
      </c>
      <c r="D13" s="7"/>
      <c r="E13" s="8"/>
    </row>
    <row r="14" customFormat="false" ht="18.75" hidden="false" customHeight="false" outlineLevel="0" collapsed="false">
      <c r="A14" s="5" t="s">
        <v>29</v>
      </c>
      <c r="B14" s="6" t="s">
        <v>29</v>
      </c>
      <c r="C14" s="6" t="s">
        <v>30</v>
      </c>
      <c r="D14" s="7"/>
      <c r="E14" s="8"/>
    </row>
    <row r="15" customFormat="false" ht="18.75" hidden="false" customHeight="false" outlineLevel="0" collapsed="false">
      <c r="A15" s="5" t="s">
        <v>31</v>
      </c>
      <c r="B15" s="6" t="s">
        <v>31</v>
      </c>
      <c r="C15" s="6" t="s">
        <v>32</v>
      </c>
      <c r="D15" s="7"/>
      <c r="E15" s="8"/>
    </row>
    <row r="16" customFormat="false" ht="18.75" hidden="false" customHeight="false" outlineLevel="0" collapsed="false">
      <c r="A16" s="5" t="s">
        <v>33</v>
      </c>
      <c r="B16" s="6" t="s">
        <v>33</v>
      </c>
      <c r="C16" s="6" t="s">
        <v>34</v>
      </c>
      <c r="D16" s="7"/>
      <c r="E16" s="8"/>
    </row>
    <row r="17" customFormat="false" ht="18.75" hidden="false" customHeight="false" outlineLevel="0" collapsed="false">
      <c r="A17" s="5" t="s">
        <v>35</v>
      </c>
      <c r="B17" s="6" t="s">
        <v>35</v>
      </c>
      <c r="C17" s="6" t="s">
        <v>36</v>
      </c>
      <c r="D17" s="7"/>
      <c r="E17" s="8"/>
    </row>
    <row r="18" customFormat="false" ht="18.75" hidden="false" customHeight="false" outlineLevel="0" collapsed="false">
      <c r="A18" s="5" t="s">
        <v>37</v>
      </c>
      <c r="B18" s="6" t="s">
        <v>37</v>
      </c>
      <c r="C18" s="6" t="s">
        <v>38</v>
      </c>
      <c r="D18" s="7"/>
      <c r="E18" s="8"/>
    </row>
    <row r="19" customFormat="false" ht="18.75" hidden="false" customHeight="false" outlineLevel="0" collapsed="false">
      <c r="A19" s="5" t="s">
        <v>39</v>
      </c>
      <c r="B19" s="6" t="s">
        <v>39</v>
      </c>
      <c r="C19" s="6" t="s">
        <v>40</v>
      </c>
      <c r="D19" s="7"/>
      <c r="E19" s="8"/>
    </row>
    <row r="20" customFormat="false" ht="18.75" hidden="false" customHeight="false" outlineLevel="0" collapsed="false">
      <c r="A20" s="5" t="s">
        <v>41</v>
      </c>
      <c r="B20" s="6" t="s">
        <v>41</v>
      </c>
      <c r="C20" s="6" t="s">
        <v>42</v>
      </c>
      <c r="D20" s="7"/>
      <c r="E20" s="8"/>
    </row>
    <row r="21" customFormat="false" ht="18.75" hidden="false" customHeight="false" outlineLevel="0" collapsed="false">
      <c r="A21" s="5" t="s">
        <v>43</v>
      </c>
      <c r="B21" s="6" t="s">
        <v>43</v>
      </c>
      <c r="C21" s="6" t="s">
        <v>44</v>
      </c>
      <c r="D21" s="7"/>
      <c r="E21" s="8"/>
    </row>
    <row r="22" customFormat="false" ht="18.75" hidden="false" customHeight="false" outlineLevel="0" collapsed="false">
      <c r="A22" s="5" t="s">
        <v>45</v>
      </c>
      <c r="B22" s="6" t="s">
        <v>45</v>
      </c>
      <c r="C22" s="6" t="s">
        <v>46</v>
      </c>
      <c r="D22" s="7"/>
      <c r="E22" s="8"/>
    </row>
    <row r="23" customFormat="false" ht="18.75" hidden="false" customHeight="false" outlineLevel="0" collapsed="false">
      <c r="A23" s="5" t="s">
        <v>47</v>
      </c>
      <c r="B23" s="6" t="s">
        <v>47</v>
      </c>
      <c r="C23" s="6" t="s">
        <v>48</v>
      </c>
      <c r="D23" s="7"/>
      <c r="E23" s="8"/>
    </row>
    <row r="24" customFormat="false" ht="18.75" hidden="false" customHeight="false" outlineLevel="0" collapsed="false">
      <c r="A24" s="5" t="s">
        <v>49</v>
      </c>
      <c r="B24" s="6" t="s">
        <v>49</v>
      </c>
      <c r="C24" s="6" t="s">
        <v>50</v>
      </c>
      <c r="D24" s="7"/>
      <c r="E24" s="8"/>
    </row>
    <row r="25" customFormat="false" ht="18.75" hidden="false" customHeight="false" outlineLevel="0" collapsed="false">
      <c r="A25" s="5" t="s">
        <v>51</v>
      </c>
      <c r="B25" s="6" t="s">
        <v>51</v>
      </c>
      <c r="C25" s="6" t="s">
        <v>52</v>
      </c>
      <c r="D25" s="7"/>
      <c r="E25" s="8"/>
    </row>
    <row r="26" customFormat="false" ht="18.75" hidden="false" customHeight="false" outlineLevel="0" collapsed="false">
      <c r="A26" s="5" t="s">
        <v>53</v>
      </c>
      <c r="B26" s="6" t="s">
        <v>53</v>
      </c>
      <c r="C26" s="6" t="s">
        <v>54</v>
      </c>
      <c r="D26" s="7"/>
      <c r="E26" s="8"/>
    </row>
    <row r="27" customFormat="false" ht="18.75" hidden="false" customHeight="false" outlineLevel="0" collapsed="false">
      <c r="A27" s="5" t="s">
        <v>55</v>
      </c>
      <c r="B27" s="6" t="s">
        <v>55</v>
      </c>
      <c r="C27" s="6" t="s">
        <v>56</v>
      </c>
      <c r="D27" s="7"/>
      <c r="E27" s="8"/>
    </row>
    <row r="28" customFormat="false" ht="18.75" hidden="false" customHeight="false" outlineLevel="0" collapsed="false">
      <c r="A28" s="5" t="s">
        <v>57</v>
      </c>
      <c r="B28" s="6" t="s">
        <v>57</v>
      </c>
      <c r="C28" s="6" t="s">
        <v>58</v>
      </c>
      <c r="D28" s="7"/>
      <c r="E28" s="8"/>
    </row>
    <row r="29" customFormat="false" ht="18.75" hidden="false" customHeight="false" outlineLevel="0" collapsed="false">
      <c r="A29" s="5" t="s">
        <v>59</v>
      </c>
      <c r="B29" s="6" t="s">
        <v>59</v>
      </c>
      <c r="C29" s="6" t="s">
        <v>60</v>
      </c>
      <c r="D29" s="7"/>
      <c r="E29" s="8"/>
    </row>
    <row r="30" customFormat="false" ht="18.75" hidden="false" customHeight="false" outlineLevel="0" collapsed="false">
      <c r="A30" s="5" t="n">
        <v>1</v>
      </c>
      <c r="B30" s="6" t="n">
        <v>1</v>
      </c>
      <c r="C30" s="6" t="s">
        <v>61</v>
      </c>
      <c r="D30" s="7"/>
      <c r="E30" s="8"/>
    </row>
    <row r="31" customFormat="false" ht="18.75" hidden="false" customHeight="false" outlineLevel="0" collapsed="false">
      <c r="A31" s="5" t="n">
        <v>2</v>
      </c>
      <c r="B31" s="6" t="n">
        <v>2</v>
      </c>
      <c r="C31" s="6" t="s">
        <v>62</v>
      </c>
      <c r="D31" s="7"/>
      <c r="E31" s="8"/>
    </row>
    <row r="32" customFormat="false" ht="18.75" hidden="false" customHeight="false" outlineLevel="0" collapsed="false">
      <c r="A32" s="5" t="n">
        <v>3</v>
      </c>
      <c r="B32" s="6" t="n">
        <v>3</v>
      </c>
      <c r="C32" s="6" t="s">
        <v>63</v>
      </c>
      <c r="D32" s="7"/>
      <c r="E32" s="8"/>
    </row>
    <row r="33" customFormat="false" ht="18.75" hidden="false" customHeight="false" outlineLevel="0" collapsed="false">
      <c r="A33" s="5" t="n">
        <v>4</v>
      </c>
      <c r="B33" s="6" t="n">
        <v>4</v>
      </c>
      <c r="C33" s="6" t="s">
        <v>64</v>
      </c>
      <c r="D33" s="7"/>
      <c r="E33" s="8"/>
    </row>
    <row r="34" customFormat="false" ht="18.75" hidden="false" customHeight="false" outlineLevel="0" collapsed="false">
      <c r="A34" s="5" t="n">
        <v>5</v>
      </c>
      <c r="B34" s="6" t="n">
        <v>5</v>
      </c>
      <c r="C34" s="6" t="s">
        <v>65</v>
      </c>
      <c r="D34" s="7"/>
      <c r="E34" s="8"/>
    </row>
    <row r="35" customFormat="false" ht="18.75" hidden="false" customHeight="false" outlineLevel="0" collapsed="false">
      <c r="A35" s="5" t="n">
        <v>6</v>
      </c>
      <c r="B35" s="6" t="n">
        <v>6</v>
      </c>
      <c r="C35" s="6" t="s">
        <v>66</v>
      </c>
      <c r="D35" s="7"/>
      <c r="E35" s="8"/>
    </row>
    <row r="36" customFormat="false" ht="18.75" hidden="false" customHeight="false" outlineLevel="0" collapsed="false">
      <c r="A36" s="5" t="n">
        <v>7</v>
      </c>
      <c r="B36" s="6" t="n">
        <v>7</v>
      </c>
      <c r="C36" s="6" t="s">
        <v>67</v>
      </c>
      <c r="D36" s="7"/>
      <c r="E36" s="8"/>
    </row>
    <row r="37" customFormat="false" ht="18.75" hidden="false" customHeight="false" outlineLevel="0" collapsed="false">
      <c r="A37" s="5" t="n">
        <v>8</v>
      </c>
      <c r="B37" s="6" t="n">
        <v>8</v>
      </c>
      <c r="C37" s="6" t="s">
        <v>68</v>
      </c>
      <c r="D37" s="7"/>
      <c r="E37" s="8"/>
    </row>
    <row r="38" customFormat="false" ht="18.75" hidden="false" customHeight="false" outlineLevel="0" collapsed="false">
      <c r="A38" s="5" t="n">
        <v>9</v>
      </c>
      <c r="B38" s="6" t="n">
        <v>9</v>
      </c>
      <c r="C38" s="6" t="s">
        <v>69</v>
      </c>
      <c r="D38" s="7"/>
      <c r="E38" s="8"/>
    </row>
    <row r="39" customFormat="false" ht="18.75" hidden="false" customHeight="false" outlineLevel="0" collapsed="false">
      <c r="A39" s="5" t="n">
        <v>0</v>
      </c>
      <c r="B39" s="6" t="n">
        <v>0</v>
      </c>
      <c r="C39" s="6" t="s">
        <v>70</v>
      </c>
      <c r="D39" s="7"/>
      <c r="E39" s="8"/>
    </row>
    <row r="40" customFormat="false" ht="18.75" hidden="false" customHeight="false" outlineLevel="0" collapsed="false">
      <c r="A40" s="5" t="s">
        <v>71</v>
      </c>
      <c r="B40" s="6" t="s">
        <v>71</v>
      </c>
      <c r="C40" s="6" t="s">
        <v>72</v>
      </c>
      <c r="D40" s="7"/>
      <c r="E40" s="8"/>
    </row>
    <row r="41" customFormat="false" ht="18.75" hidden="false" customHeight="false" outlineLevel="0" collapsed="false">
      <c r="A41" s="5" t="s">
        <v>73</v>
      </c>
      <c r="B41" s="6" t="s">
        <v>73</v>
      </c>
      <c r="C41" s="6" t="s">
        <v>74</v>
      </c>
      <c r="D41" s="7"/>
      <c r="E41" s="8"/>
    </row>
    <row r="42" customFormat="false" ht="18.75" hidden="false" customHeight="false" outlineLevel="0" collapsed="false">
      <c r="A42" s="5" t="s">
        <v>75</v>
      </c>
      <c r="B42" s="6" t="s">
        <v>75</v>
      </c>
      <c r="C42" s="6" t="s">
        <v>76</v>
      </c>
      <c r="D42" s="7"/>
      <c r="E42" s="8"/>
    </row>
    <row r="43" customFormat="false" ht="18.75" hidden="false" customHeight="false" outlineLevel="0" collapsed="false">
      <c r="A43" s="5" t="s">
        <v>77</v>
      </c>
      <c r="B43" s="6" t="s">
        <v>77</v>
      </c>
      <c r="C43" s="6" t="s">
        <v>78</v>
      </c>
      <c r="D43" s="7"/>
      <c r="E43" s="8"/>
    </row>
    <row r="44" customFormat="false" ht="18.75" hidden="false" customHeight="false" outlineLevel="0" collapsed="false">
      <c r="A44" s="5" t="s">
        <v>79</v>
      </c>
      <c r="B44" s="6" t="s">
        <v>79</v>
      </c>
      <c r="C44" s="6" t="s">
        <v>80</v>
      </c>
      <c r="D44" s="7"/>
      <c r="E44" s="8"/>
    </row>
    <row r="45" customFormat="false" ht="18.75" hidden="false" customHeight="false" outlineLevel="0" collapsed="false">
      <c r="A45" s="5" t="s">
        <v>81</v>
      </c>
      <c r="B45" s="6" t="s">
        <v>81</v>
      </c>
      <c r="C45" s="6" t="s">
        <v>82</v>
      </c>
      <c r="D45" s="7"/>
      <c r="E45" s="8"/>
    </row>
    <row r="46" customFormat="false" ht="18.75" hidden="false" customHeight="false" outlineLevel="0" collapsed="false">
      <c r="A46" s="5" t="s">
        <v>83</v>
      </c>
      <c r="B46" s="6" t="s">
        <v>83</v>
      </c>
      <c r="C46" s="6" t="s">
        <v>84</v>
      </c>
      <c r="D46" s="7"/>
      <c r="E46" s="8"/>
    </row>
    <row r="47" customFormat="false" ht="18.75" hidden="false" customHeight="false" outlineLevel="0" collapsed="false">
      <c r="A47" s="5" t="s">
        <v>85</v>
      </c>
      <c r="B47" s="6" t="s">
        <v>85</v>
      </c>
      <c r="C47" s="6" t="s">
        <v>86</v>
      </c>
      <c r="D47" s="7"/>
      <c r="E47" s="8"/>
    </row>
    <row r="48" customFormat="false" ht="18.75" hidden="false" customHeight="false" outlineLevel="0" collapsed="false">
      <c r="A48" s="5" t="s">
        <v>87</v>
      </c>
      <c r="B48" s="6" t="s">
        <v>87</v>
      </c>
      <c r="C48" s="6" t="s">
        <v>88</v>
      </c>
      <c r="D48" s="7"/>
      <c r="E48" s="8"/>
    </row>
    <row r="49" customFormat="false" ht="18.75" hidden="false" customHeight="false" outlineLevel="0" collapsed="false">
      <c r="A49" s="5" t="s">
        <v>89</v>
      </c>
      <c r="B49" s="6" t="s">
        <v>89</v>
      </c>
      <c r="C49" s="6" t="s">
        <v>90</v>
      </c>
      <c r="D49" s="7"/>
      <c r="E49" s="8"/>
    </row>
    <row r="50" customFormat="false" ht="18.75" hidden="false" customHeight="false" outlineLevel="0" collapsed="false">
      <c r="A50" s="5" t="s">
        <v>91</v>
      </c>
      <c r="B50" s="6" t="s">
        <v>91</v>
      </c>
      <c r="C50" s="6" t="s">
        <v>92</v>
      </c>
      <c r="D50" s="7"/>
      <c r="E50" s="8"/>
    </row>
    <row r="51" customFormat="false" ht="18.75" hidden="false" customHeight="false" outlineLevel="0" collapsed="false">
      <c r="A51" s="5" t="s">
        <v>93</v>
      </c>
      <c r="B51" s="6" t="s">
        <v>93</v>
      </c>
      <c r="C51" s="6" t="s">
        <v>94</v>
      </c>
      <c r="D51" s="7"/>
      <c r="E51" s="8"/>
    </row>
    <row r="52" customFormat="false" ht="18.75" hidden="false" customHeight="false" outlineLevel="0" collapsed="false">
      <c r="A52" s="5" t="s">
        <v>95</v>
      </c>
      <c r="B52" s="6" t="s">
        <v>95</v>
      </c>
      <c r="C52" s="6" t="s">
        <v>96</v>
      </c>
      <c r="D52" s="7"/>
      <c r="E52" s="8"/>
    </row>
    <row r="53" customFormat="false" ht="18.75" hidden="false" customHeight="false" outlineLevel="0" collapsed="false">
      <c r="A53" s="5" t="s">
        <v>97</v>
      </c>
      <c r="B53" s="6" t="s">
        <v>97</v>
      </c>
      <c r="C53" s="6" t="s">
        <v>98</v>
      </c>
      <c r="D53" s="7"/>
      <c r="E53" s="8"/>
    </row>
    <row r="54" customFormat="false" ht="18.75" hidden="false" customHeight="false" outlineLevel="0" collapsed="false">
      <c r="A54" s="5" t="s">
        <v>99</v>
      </c>
      <c r="B54" s="6" t="s">
        <v>99</v>
      </c>
      <c r="C54" s="6" t="s">
        <v>100</v>
      </c>
      <c r="D54" s="7"/>
      <c r="E54" s="8"/>
    </row>
    <row r="55" customFormat="false" ht="18.75" hidden="false" customHeight="false" outlineLevel="0" collapsed="false">
      <c r="A55" s="5" t="s">
        <v>101</v>
      </c>
      <c r="B55" s="6" t="s">
        <v>101</v>
      </c>
      <c r="C55" s="6" t="s">
        <v>102</v>
      </c>
      <c r="D55" s="7"/>
      <c r="E55" s="8"/>
    </row>
    <row r="56" customFormat="false" ht="18.75" hidden="false" customHeight="false" outlineLevel="0" collapsed="false">
      <c r="A56" s="5" t="s">
        <v>103</v>
      </c>
      <c r="B56" s="6" t="s">
        <v>103</v>
      </c>
      <c r="C56" s="6" t="s">
        <v>104</v>
      </c>
      <c r="D56" s="7"/>
      <c r="E56" s="8"/>
    </row>
    <row r="57" customFormat="false" ht="18.75" hidden="false" customHeight="false" outlineLevel="0" collapsed="false">
      <c r="A57" s="5" t="s">
        <v>105</v>
      </c>
      <c r="B57" s="6" t="s">
        <v>105</v>
      </c>
      <c r="C57" s="6" t="s">
        <v>106</v>
      </c>
      <c r="D57" s="7"/>
      <c r="E57" s="8"/>
    </row>
    <row r="58" customFormat="false" ht="18.75" hidden="false" customHeight="false" outlineLevel="0" collapsed="false">
      <c r="A58" s="5" t="s">
        <v>107</v>
      </c>
      <c r="B58" s="6" t="s">
        <v>107</v>
      </c>
      <c r="C58" s="6" t="s">
        <v>108</v>
      </c>
      <c r="D58" s="7"/>
      <c r="E58" s="8"/>
    </row>
    <row r="59" customFormat="false" ht="18.75" hidden="false" customHeight="false" outlineLevel="0" collapsed="false">
      <c r="A59" s="5" t="s">
        <v>109</v>
      </c>
      <c r="B59" s="6" t="s">
        <v>109</v>
      </c>
      <c r="C59" s="6" t="s">
        <v>110</v>
      </c>
      <c r="D59" s="7"/>
      <c r="E59" s="8"/>
    </row>
    <row r="60" customFormat="false" ht="18.75" hidden="false" customHeight="false" outlineLevel="0" collapsed="false">
      <c r="A60" s="5" t="s">
        <v>111</v>
      </c>
      <c r="B60" s="6" t="s">
        <v>111</v>
      </c>
      <c r="C60" s="6" t="s">
        <v>112</v>
      </c>
      <c r="D60" s="7"/>
      <c r="E60" s="8"/>
    </row>
    <row r="61" customFormat="false" ht="18.75" hidden="false" customHeight="false" outlineLevel="0" collapsed="false">
      <c r="A61" s="5" t="s">
        <v>113</v>
      </c>
      <c r="B61" s="6" t="s">
        <v>113</v>
      </c>
      <c r="C61" s="6" t="s">
        <v>114</v>
      </c>
      <c r="D61" s="7"/>
      <c r="E61" s="8"/>
    </row>
    <row r="62" customFormat="false" ht="18.75" hidden="false" customHeight="false" outlineLevel="0" collapsed="false">
      <c r="A62" s="5" t="s">
        <v>115</v>
      </c>
      <c r="B62" s="6" t="s">
        <v>115</v>
      </c>
      <c r="C62" s="6" t="s">
        <v>116</v>
      </c>
      <c r="D62" s="7"/>
      <c r="E62" s="8"/>
    </row>
    <row r="63" customFormat="false" ht="18.75" hidden="false" customHeight="false" outlineLevel="0" collapsed="false">
      <c r="A63" s="5" t="s">
        <v>117</v>
      </c>
      <c r="B63" s="6" t="s">
        <v>117</v>
      </c>
      <c r="C63" s="6" t="s">
        <v>118</v>
      </c>
      <c r="D63" s="7"/>
      <c r="E63" s="8"/>
    </row>
    <row r="64" customFormat="false" ht="18.75" hidden="false" customHeight="false" outlineLevel="0" collapsed="false">
      <c r="A64" s="5" t="s">
        <v>119</v>
      </c>
      <c r="B64" s="6" t="s">
        <v>119</v>
      </c>
      <c r="C64" s="6" t="s">
        <v>120</v>
      </c>
      <c r="D64" s="7"/>
      <c r="E64" s="8"/>
    </row>
    <row r="65" customFormat="false" ht="18.75" hidden="false" customHeight="false" outlineLevel="0" collapsed="false">
      <c r="A65" s="5" t="s">
        <v>121</v>
      </c>
      <c r="B65" s="6" t="s">
        <v>121</v>
      </c>
      <c r="C65" s="6" t="s">
        <v>122</v>
      </c>
      <c r="D65" s="7"/>
      <c r="E65" s="8"/>
    </row>
    <row r="66" customFormat="false" ht="18.75" hidden="false" customHeight="false" outlineLevel="0" collapsed="false">
      <c r="A66" s="5" t="s">
        <v>123</v>
      </c>
      <c r="B66" s="6" t="s">
        <v>123</v>
      </c>
      <c r="C66" s="6" t="s">
        <v>124</v>
      </c>
      <c r="D66" s="7"/>
      <c r="E66" s="8"/>
    </row>
    <row r="67" customFormat="false" ht="18.75" hidden="false" customHeight="false" outlineLevel="0" collapsed="false">
      <c r="A67" s="5" t="s">
        <v>125</v>
      </c>
      <c r="B67" s="6" t="s">
        <v>125</v>
      </c>
      <c r="C67" s="6" t="s">
        <v>126</v>
      </c>
      <c r="D67" s="7"/>
      <c r="E67" s="8"/>
    </row>
    <row r="68" customFormat="false" ht="18.75" hidden="false" customHeight="false" outlineLevel="0" collapsed="false">
      <c r="A68" s="5" t="s">
        <v>127</v>
      </c>
      <c r="B68" s="6" t="s">
        <v>127</v>
      </c>
      <c r="C68" s="6" t="s">
        <v>128</v>
      </c>
      <c r="D68" s="7"/>
      <c r="E68" s="8"/>
    </row>
    <row r="69" customFormat="false" ht="18.75" hidden="false" customHeight="false" outlineLevel="0" collapsed="false">
      <c r="A69" s="5" t="s">
        <v>129</v>
      </c>
      <c r="B69" s="6" t="s">
        <v>129</v>
      </c>
      <c r="C69" s="6" t="s">
        <v>130</v>
      </c>
      <c r="D69" s="7" t="s">
        <v>131</v>
      </c>
      <c r="E69" s="8"/>
    </row>
    <row r="70" customFormat="false" ht="18.75" hidden="false" customHeight="false" outlineLevel="0" collapsed="false">
      <c r="A70" s="5" t="s">
        <v>132</v>
      </c>
      <c r="B70" s="6" t="s">
        <v>132</v>
      </c>
      <c r="C70" s="6" t="s">
        <v>133</v>
      </c>
      <c r="D70" s="7"/>
      <c r="E70" s="8"/>
    </row>
    <row r="71" customFormat="false" ht="18.75" hidden="false" customHeight="false" outlineLevel="0" collapsed="false">
      <c r="A71" s="5" t="s">
        <v>134</v>
      </c>
      <c r="B71" s="6" t="s">
        <v>134</v>
      </c>
      <c r="C71" s="6" t="s">
        <v>135</v>
      </c>
      <c r="D71" s="7"/>
      <c r="E71" s="8"/>
    </row>
    <row r="72" customFormat="false" ht="18.75" hidden="false" customHeight="false" outlineLevel="0" collapsed="false">
      <c r="A72" s="5" t="s">
        <v>136</v>
      </c>
      <c r="B72" s="6" t="s">
        <v>136</v>
      </c>
      <c r="C72" s="6" t="s">
        <v>137</v>
      </c>
      <c r="D72" s="7"/>
      <c r="E72" s="8"/>
    </row>
    <row r="73" customFormat="false" ht="18.75" hidden="false" customHeight="false" outlineLevel="0" collapsed="false">
      <c r="A73" s="5" t="s">
        <v>138</v>
      </c>
      <c r="B73" s="6" t="s">
        <v>138</v>
      </c>
      <c r="C73" s="6" t="s">
        <v>139</v>
      </c>
      <c r="D73" s="7" t="s">
        <v>131</v>
      </c>
      <c r="E73" s="8"/>
    </row>
    <row r="74" customFormat="false" ht="18.75" hidden="false" customHeight="false" outlineLevel="0" collapsed="false">
      <c r="A74" s="5" t="s">
        <v>140</v>
      </c>
      <c r="B74" s="6" t="s">
        <v>140</v>
      </c>
      <c r="C74" s="6" t="s">
        <v>141</v>
      </c>
      <c r="D74" s="7" t="s">
        <v>142</v>
      </c>
      <c r="E74" s="8"/>
    </row>
    <row r="75" customFormat="false" ht="18.75" hidden="false" customHeight="false" outlineLevel="0" collapsed="false">
      <c r="A75" s="5" t="s">
        <v>143</v>
      </c>
      <c r="B75" s="6" t="s">
        <v>143</v>
      </c>
      <c r="C75" s="6" t="s">
        <v>144</v>
      </c>
      <c r="D75" s="7"/>
      <c r="E75" s="8"/>
    </row>
    <row r="76" customFormat="false" ht="18.75" hidden="false" customHeight="false" outlineLevel="0" collapsed="false">
      <c r="A76" s="5" t="s">
        <v>145</v>
      </c>
      <c r="B76" s="6" t="s">
        <v>146</v>
      </c>
      <c r="C76" s="6" t="s">
        <v>147</v>
      </c>
      <c r="D76" s="7"/>
      <c r="E76" s="8"/>
    </row>
    <row r="77" customFormat="false" ht="18.75" hidden="false" customHeight="false" outlineLevel="0" collapsed="false">
      <c r="A77" s="5" t="s">
        <v>148</v>
      </c>
      <c r="B77" s="6" t="s">
        <v>148</v>
      </c>
      <c r="C77" s="6" t="s">
        <v>149</v>
      </c>
      <c r="D77" s="7"/>
      <c r="E77" s="8"/>
    </row>
    <row r="78" customFormat="false" ht="18.75" hidden="false" customHeight="false" outlineLevel="0" collapsed="false">
      <c r="A78" s="5" t="s">
        <v>150</v>
      </c>
      <c r="B78" s="6" t="s">
        <v>151</v>
      </c>
      <c r="C78" s="6" t="s">
        <v>152</v>
      </c>
      <c r="D78" s="7"/>
      <c r="E78" s="8"/>
    </row>
    <row r="79" customFormat="false" ht="18.75" hidden="false" customHeight="false" outlineLevel="0" collapsed="false">
      <c r="A79" s="5" t="s">
        <v>153</v>
      </c>
      <c r="B79" s="6" t="s">
        <v>153</v>
      </c>
      <c r="C79" s="6" t="s">
        <v>154</v>
      </c>
      <c r="D79" s="7"/>
      <c r="E79" s="8"/>
    </row>
    <row r="80" customFormat="false" ht="18.75" hidden="false" customHeight="false" outlineLevel="0" collapsed="false">
      <c r="A80" s="5" t="s">
        <v>155</v>
      </c>
      <c r="B80" s="6" t="s">
        <v>155</v>
      </c>
      <c r="C80" s="6" t="s">
        <v>156</v>
      </c>
      <c r="D80" s="7"/>
      <c r="E80" s="8"/>
    </row>
    <row r="81" customFormat="false" ht="18.75" hidden="false" customHeight="false" outlineLevel="0" collapsed="false">
      <c r="A81" s="5" t="s">
        <v>157</v>
      </c>
      <c r="B81" s="6" t="s">
        <v>157</v>
      </c>
      <c r="C81" s="6" t="s">
        <v>158</v>
      </c>
      <c r="D81" s="7"/>
      <c r="E81" s="8"/>
    </row>
    <row r="82" customFormat="false" ht="18.75" hidden="false" customHeight="false" outlineLevel="0" collapsed="false">
      <c r="A82" s="5" t="s">
        <v>159</v>
      </c>
      <c r="B82" s="6"/>
      <c r="C82" s="6" t="s">
        <v>160</v>
      </c>
      <c r="D82" s="7" t="s">
        <v>161</v>
      </c>
      <c r="E82" s="8" t="s">
        <v>162</v>
      </c>
    </row>
    <row r="83" customFormat="false" ht="18.75" hidden="false" customHeight="false" outlineLevel="0" collapsed="false">
      <c r="A83" s="5" t="s">
        <v>146</v>
      </c>
      <c r="B83" s="6" t="s">
        <v>163</v>
      </c>
      <c r="C83" s="6" t="s">
        <v>164</v>
      </c>
      <c r="D83" s="7"/>
      <c r="E83" s="8"/>
    </row>
    <row r="84" customFormat="false" ht="18.75" hidden="false" customHeight="false" outlineLevel="0" collapsed="false">
      <c r="A84" s="5" t="s">
        <v>163</v>
      </c>
      <c r="B84" s="6" t="s">
        <v>159</v>
      </c>
      <c r="C84" s="6" t="s">
        <v>165</v>
      </c>
      <c r="D84" s="7"/>
      <c r="E84" s="8"/>
    </row>
    <row r="85" customFormat="false" ht="18.75" hidden="false" customHeight="false" outlineLevel="0" collapsed="false">
      <c r="A85" s="5" t="s">
        <v>166</v>
      </c>
      <c r="B85" s="6" t="s">
        <v>167</v>
      </c>
      <c r="C85" s="6" t="s">
        <v>168</v>
      </c>
      <c r="D85" s="7"/>
      <c r="E85" s="8"/>
    </row>
    <row r="86" customFormat="false" ht="18.75" hidden="false" customHeight="false" outlineLevel="0" collapsed="false">
      <c r="A86" s="5" t="s">
        <v>159</v>
      </c>
      <c r="B86" s="9"/>
      <c r="C86" s="9" t="s">
        <v>169</v>
      </c>
      <c r="D86" s="10" t="s">
        <v>170</v>
      </c>
      <c r="E86" s="11" t="s">
        <v>171</v>
      </c>
    </row>
    <row r="87" customFormat="false" ht="18.75" hidden="false" customHeight="false" outlineLevel="0" collapsed="false">
      <c r="A87" s="5" t="s">
        <v>172</v>
      </c>
      <c r="B87" s="9"/>
      <c r="C87" s="9" t="s">
        <v>173</v>
      </c>
      <c r="D87" s="10"/>
      <c r="E87" s="11"/>
    </row>
    <row r="88" customFormat="false" ht="18.75" hidden="false" customHeight="false" outlineLevel="0" collapsed="false">
      <c r="A88" s="5" t="s">
        <v>174</v>
      </c>
      <c r="B88" s="9"/>
      <c r="C88" s="9" t="s">
        <v>175</v>
      </c>
      <c r="D88" s="10"/>
      <c r="E88" s="11" t="s">
        <v>176</v>
      </c>
    </row>
    <row r="89" customFormat="false" ht="18.75" hidden="false" customHeight="false" outlineLevel="0" collapsed="false">
      <c r="A89" s="5" t="s">
        <v>177</v>
      </c>
      <c r="B89" s="9"/>
      <c r="C89" s="9" t="s">
        <v>178</v>
      </c>
      <c r="D89" s="10"/>
      <c r="E89" s="11" t="s">
        <v>179</v>
      </c>
    </row>
    <row r="90" customFormat="false" ht="18.75" hidden="false" customHeight="false" outlineLevel="0" collapsed="false">
      <c r="A90" s="5" t="s">
        <v>180</v>
      </c>
      <c r="B90" s="9" t="s">
        <v>180</v>
      </c>
      <c r="C90" s="9" t="s">
        <v>181</v>
      </c>
      <c r="D90" s="10"/>
      <c r="E90" s="11"/>
    </row>
    <row r="91" customFormat="false" ht="18.75" hidden="false" customHeight="false" outlineLevel="0" collapsed="false">
      <c r="A91" s="12" t="s">
        <v>182</v>
      </c>
      <c r="B91" s="13" t="s">
        <v>182</v>
      </c>
      <c r="C91" s="13" t="s">
        <v>183</v>
      </c>
      <c r="D91" s="14"/>
      <c r="E91" s="15"/>
    </row>
    <row r="92" customFormat="false" ht="18.75" hidden="false" customHeight="false" outlineLevel="0" collapsed="false">
      <c r="A92" s="16" t="s">
        <v>184</v>
      </c>
      <c r="B92" s="17"/>
      <c r="C92" s="17"/>
      <c r="D92" s="17"/>
      <c r="E92" s="18"/>
    </row>
    <row r="93" customFormat="false" ht="18.75" hidden="false" customHeight="false" outlineLevel="0" collapsed="false">
      <c r="A93" s="2" t="s">
        <v>0</v>
      </c>
      <c r="B93" s="3" t="s">
        <v>1</v>
      </c>
      <c r="C93" s="3" t="s">
        <v>2</v>
      </c>
      <c r="D93" s="3" t="s">
        <v>3</v>
      </c>
      <c r="E93" s="4"/>
    </row>
    <row r="94" customFormat="false" ht="18.75" hidden="false" customHeight="false" outlineLevel="0" collapsed="false">
      <c r="A94" s="5" t="s">
        <v>185</v>
      </c>
      <c r="B94" s="6" t="s">
        <v>185</v>
      </c>
      <c r="C94" s="6" t="s">
        <v>186</v>
      </c>
      <c r="D94" s="7"/>
      <c r="E94" s="8"/>
    </row>
    <row r="95" customFormat="false" ht="18.75" hidden="false" customHeight="false" outlineLevel="0" collapsed="false">
      <c r="A95" s="5" t="s">
        <v>187</v>
      </c>
      <c r="B95" s="6" t="s">
        <v>187</v>
      </c>
      <c r="C95" s="6" t="s">
        <v>141</v>
      </c>
      <c r="D95" s="7"/>
      <c r="E95" s="8"/>
    </row>
    <row r="96" customFormat="false" ht="18.75" hidden="false" customHeight="false" outlineLevel="0" collapsed="false">
      <c r="A96" s="5" t="s">
        <v>188</v>
      </c>
      <c r="B96" s="6" t="s">
        <v>188</v>
      </c>
      <c r="C96" s="6" t="s">
        <v>189</v>
      </c>
      <c r="D96" s="7"/>
      <c r="E96" s="8"/>
    </row>
    <row r="97" customFormat="false" ht="18.75" hidden="false" customHeight="false" outlineLevel="0" collapsed="false">
      <c r="A97" s="5" t="s">
        <v>190</v>
      </c>
      <c r="B97" s="6" t="s">
        <v>190</v>
      </c>
      <c r="C97" s="6" t="s">
        <v>191</v>
      </c>
      <c r="D97" s="7"/>
      <c r="E97" s="8"/>
    </row>
    <row r="98" customFormat="false" ht="18.75" hidden="false" customHeight="false" outlineLevel="0" collapsed="false">
      <c r="A98" s="5" t="s">
        <v>192</v>
      </c>
      <c r="B98" s="6" t="s">
        <v>192</v>
      </c>
      <c r="C98" s="6" t="s">
        <v>193</v>
      </c>
      <c r="D98" s="7"/>
      <c r="E98" s="8"/>
    </row>
    <row r="99" customFormat="false" ht="18.75" hidden="false" customHeight="false" outlineLevel="0" collapsed="false">
      <c r="A99" s="5" t="s">
        <v>194</v>
      </c>
      <c r="B99" s="6" t="s">
        <v>194</v>
      </c>
      <c r="C99" s="6" t="s">
        <v>195</v>
      </c>
      <c r="D99" s="7"/>
      <c r="E99" s="8"/>
    </row>
    <row r="100" customFormat="false" ht="18.75" hidden="false" customHeight="false" outlineLevel="0" collapsed="false">
      <c r="A100" s="5" t="s">
        <v>196</v>
      </c>
      <c r="B100" s="6" t="s">
        <v>196</v>
      </c>
      <c r="C100" s="6" t="s">
        <v>197</v>
      </c>
      <c r="D100" s="7"/>
      <c r="E100" s="8"/>
    </row>
    <row r="101" customFormat="false" ht="18.75" hidden="false" customHeight="false" outlineLevel="0" collapsed="false">
      <c r="A101" s="5" t="s">
        <v>198</v>
      </c>
      <c r="B101" s="6" t="s">
        <v>198</v>
      </c>
      <c r="C101" s="6" t="s">
        <v>199</v>
      </c>
      <c r="D101" s="7"/>
      <c r="E101" s="8"/>
    </row>
    <row r="102" customFormat="false" ht="18.75" hidden="false" customHeight="false" outlineLevel="0" collapsed="false">
      <c r="A102" s="5" t="s">
        <v>200</v>
      </c>
      <c r="B102" s="6" t="s">
        <v>200</v>
      </c>
      <c r="C102" s="6" t="s">
        <v>201</v>
      </c>
      <c r="D102" s="7"/>
      <c r="E102" s="8"/>
    </row>
    <row r="103" customFormat="false" ht="18.75" hidden="false" customHeight="false" outlineLevel="0" collapsed="false">
      <c r="A103" s="5" t="s">
        <v>202</v>
      </c>
      <c r="B103" s="6" t="s">
        <v>202</v>
      </c>
      <c r="C103" s="6" t="s">
        <v>203</v>
      </c>
      <c r="D103" s="7"/>
      <c r="E103" s="8"/>
    </row>
    <row r="104" customFormat="false" ht="18.75" hidden="false" customHeight="false" outlineLevel="0" collapsed="false">
      <c r="A104" s="5" t="s">
        <v>204</v>
      </c>
      <c r="B104" s="6" t="s">
        <v>204</v>
      </c>
      <c r="C104" s="6" t="s">
        <v>205</v>
      </c>
      <c r="D104" s="7"/>
      <c r="E104" s="8"/>
    </row>
    <row r="105" customFormat="false" ht="18.75" hidden="false" customHeight="false" outlineLevel="0" collapsed="false">
      <c r="A105" s="5" t="s">
        <v>206</v>
      </c>
      <c r="B105" s="6" t="s">
        <v>206</v>
      </c>
      <c r="C105" s="6" t="s">
        <v>207</v>
      </c>
      <c r="D105" s="7"/>
      <c r="E105" s="8"/>
    </row>
    <row r="106" customFormat="false" ht="18.75" hidden="false" customHeight="false" outlineLevel="0" collapsed="false">
      <c r="A106" s="5" t="s">
        <v>208</v>
      </c>
      <c r="B106" s="6" t="s">
        <v>208</v>
      </c>
      <c r="C106" s="6" t="s">
        <v>209</v>
      </c>
      <c r="D106" s="7"/>
      <c r="E106" s="8"/>
    </row>
    <row r="107" customFormat="false" ht="18.75" hidden="false" customHeight="false" outlineLevel="0" collapsed="false">
      <c r="A107" s="5" t="s">
        <v>210</v>
      </c>
      <c r="B107" s="6" t="s">
        <v>210</v>
      </c>
      <c r="C107" s="6" t="s">
        <v>211</v>
      </c>
      <c r="D107" s="7"/>
      <c r="E107" s="8"/>
    </row>
    <row r="108" customFormat="false" ht="18.75" hidden="false" customHeight="false" outlineLevel="0" collapsed="false">
      <c r="A108" s="5" t="s">
        <v>212</v>
      </c>
      <c r="B108" s="6" t="s">
        <v>212</v>
      </c>
      <c r="C108" s="6" t="s">
        <v>213</v>
      </c>
      <c r="D108" s="7"/>
      <c r="E108" s="8"/>
    </row>
    <row r="109" customFormat="false" ht="18.75" hidden="false" customHeight="false" outlineLevel="0" collapsed="false">
      <c r="A109" s="5" t="s">
        <v>214</v>
      </c>
      <c r="B109" s="6" t="s">
        <v>214</v>
      </c>
      <c r="C109" s="6" t="s">
        <v>215</v>
      </c>
      <c r="D109" s="7"/>
      <c r="E109" s="8"/>
    </row>
    <row r="110" customFormat="false" ht="18.75" hidden="false" customHeight="false" outlineLevel="0" collapsed="false">
      <c r="A110" s="5" t="s">
        <v>216</v>
      </c>
      <c r="B110" s="6"/>
      <c r="C110" s="6" t="s">
        <v>217</v>
      </c>
      <c r="D110" s="7"/>
      <c r="E110" s="8"/>
    </row>
    <row r="111" customFormat="false" ht="18.75" hidden="false" customHeight="false" outlineLevel="0" collapsed="false">
      <c r="A111" s="5" t="s">
        <v>218</v>
      </c>
      <c r="B111" s="6"/>
      <c r="C111" s="6" t="s">
        <v>219</v>
      </c>
      <c r="D111" s="7"/>
      <c r="E111" s="8"/>
    </row>
    <row r="112" customFormat="false" ht="18.75" hidden="false" customHeight="false" outlineLevel="0" collapsed="false">
      <c r="A112" s="5" t="s">
        <v>220</v>
      </c>
      <c r="B112" s="6"/>
      <c r="C112" s="6" t="s">
        <v>221</v>
      </c>
      <c r="D112" s="7"/>
      <c r="E112" s="8"/>
    </row>
    <row r="113" customFormat="false" ht="18.75" hidden="false" customHeight="false" outlineLevel="0" collapsed="false">
      <c r="A113" s="5" t="s">
        <v>222</v>
      </c>
      <c r="B113" s="6"/>
      <c r="C113" s="6" t="s">
        <v>223</v>
      </c>
      <c r="D113" s="7"/>
      <c r="E113" s="8"/>
    </row>
    <row r="114" customFormat="false" ht="18.75" hidden="false" customHeight="false" outlineLevel="0" collapsed="false">
      <c r="A114" s="5" t="s">
        <v>224</v>
      </c>
      <c r="B114" s="6"/>
      <c r="C114" s="6" t="s">
        <v>225</v>
      </c>
      <c r="D114" s="7"/>
      <c r="E114" s="8"/>
    </row>
    <row r="115" customFormat="false" ht="18.75" hidden="false" customHeight="false" outlineLevel="0" collapsed="false">
      <c r="A115" s="5" t="s">
        <v>226</v>
      </c>
      <c r="B115" s="6"/>
      <c r="C115" s="6" t="s">
        <v>227</v>
      </c>
      <c r="D115" s="7"/>
      <c r="E115" s="8"/>
    </row>
    <row r="116" customFormat="false" ht="18.75" hidden="false" customHeight="false" outlineLevel="0" collapsed="false">
      <c r="A116" s="5" t="s">
        <v>228</v>
      </c>
      <c r="B116" s="6"/>
      <c r="C116" s="6" t="s">
        <v>229</v>
      </c>
      <c r="D116" s="7"/>
      <c r="E116" s="8"/>
    </row>
    <row r="117" customFormat="false" ht="18.75" hidden="false" customHeight="false" outlineLevel="0" collapsed="false">
      <c r="A117" s="5" t="s">
        <v>230</v>
      </c>
      <c r="B117" s="6"/>
      <c r="C117" s="6" t="s">
        <v>231</v>
      </c>
      <c r="D117" s="7"/>
      <c r="E117" s="8"/>
    </row>
    <row r="118" customFormat="false" ht="18.75" hidden="false" customHeight="false" outlineLevel="0" collapsed="false">
      <c r="A118" s="5" t="s">
        <v>232</v>
      </c>
      <c r="B118" s="6"/>
      <c r="C118" s="6" t="s">
        <v>233</v>
      </c>
      <c r="D118" s="7"/>
      <c r="E118" s="8"/>
    </row>
    <row r="119" customFormat="false" ht="18.75" hidden="false" customHeight="false" outlineLevel="0" collapsed="false">
      <c r="A119" s="5" t="s">
        <v>234</v>
      </c>
      <c r="B119" s="6"/>
      <c r="C119" s="6" t="s">
        <v>235</v>
      </c>
      <c r="D119" s="7"/>
      <c r="E119" s="8"/>
    </row>
    <row r="120" customFormat="false" ht="18.75" hidden="false" customHeight="false" outlineLevel="0" collapsed="false">
      <c r="A120" s="5" t="s">
        <v>236</v>
      </c>
      <c r="B120" s="6"/>
      <c r="C120" s="6" t="s">
        <v>237</v>
      </c>
      <c r="D120" s="7" t="s">
        <v>238</v>
      </c>
      <c r="E120" s="8"/>
    </row>
    <row r="121" customFormat="false" ht="18.75" hidden="false" customHeight="false" outlineLevel="0" collapsed="false">
      <c r="A121" s="5" t="s">
        <v>239</v>
      </c>
      <c r="B121" s="6"/>
      <c r="C121" s="6" t="s">
        <v>240</v>
      </c>
      <c r="D121" s="7"/>
      <c r="E121" s="8" t="s">
        <v>241</v>
      </c>
    </row>
    <row r="122" customFormat="false" ht="18.75" hidden="false" customHeight="false" outlineLevel="0" collapsed="false">
      <c r="A122" s="5" t="s">
        <v>242</v>
      </c>
      <c r="B122" s="6"/>
      <c r="C122" s="6" t="s">
        <v>243</v>
      </c>
      <c r="D122" s="7"/>
      <c r="E122" s="8"/>
    </row>
    <row r="123" customFormat="false" ht="18.75" hidden="false" customHeight="false" outlineLevel="0" collapsed="false">
      <c r="A123" s="5" t="s">
        <v>244</v>
      </c>
      <c r="B123" s="6"/>
      <c r="C123" s="6" t="s">
        <v>245</v>
      </c>
      <c r="D123" s="7"/>
      <c r="E123" s="8"/>
    </row>
    <row r="124" customFormat="false" ht="18.75" hidden="false" customHeight="false" outlineLevel="0" collapsed="false">
      <c r="A124" s="5" t="s">
        <v>246</v>
      </c>
      <c r="B124" s="6"/>
      <c r="C124" s="6" t="s">
        <v>247</v>
      </c>
      <c r="D124" s="7" t="s">
        <v>248</v>
      </c>
      <c r="E124" s="8"/>
    </row>
    <row r="125" customFormat="false" ht="18.75" hidden="false" customHeight="false" outlineLevel="0" collapsed="false">
      <c r="A125" s="5" t="s">
        <v>249</v>
      </c>
      <c r="B125" s="6"/>
      <c r="C125" s="6" t="s">
        <v>250</v>
      </c>
      <c r="D125" s="7"/>
      <c r="E125" s="8"/>
    </row>
    <row r="126" customFormat="false" ht="18.75" hidden="false" customHeight="false" outlineLevel="0" collapsed="false">
      <c r="A126" s="5" t="s">
        <v>251</v>
      </c>
      <c r="B126" s="6"/>
      <c r="C126" s="6" t="s">
        <v>252</v>
      </c>
      <c r="D126" s="7"/>
      <c r="E126" s="8"/>
    </row>
    <row r="127" customFormat="false" ht="18.75" hidden="false" customHeight="false" outlineLevel="0" collapsed="false">
      <c r="A127" s="5" t="s">
        <v>253</v>
      </c>
      <c r="B127" s="6"/>
      <c r="C127" s="6" t="s">
        <v>254</v>
      </c>
      <c r="D127" s="7" t="s">
        <v>255</v>
      </c>
      <c r="E127" s="8"/>
    </row>
    <row r="128" customFormat="false" ht="18.75" hidden="false" customHeight="false" outlineLevel="0" collapsed="false">
      <c r="A128" s="5" t="s">
        <v>256</v>
      </c>
      <c r="B128" s="6"/>
      <c r="C128" s="6" t="s">
        <v>257</v>
      </c>
      <c r="D128" s="7"/>
      <c r="E128" s="8" t="s">
        <v>258</v>
      </c>
    </row>
    <row r="129" customFormat="false" ht="18.75" hidden="false" customHeight="false" outlineLevel="0" collapsed="false">
      <c r="A129" s="5" t="s">
        <v>259</v>
      </c>
      <c r="B129" s="6"/>
      <c r="C129" s="6" t="s">
        <v>260</v>
      </c>
      <c r="D129" s="7"/>
      <c r="E129" s="8"/>
    </row>
    <row r="130" customFormat="false" ht="18.75" hidden="false" customHeight="false" outlineLevel="0" collapsed="false">
      <c r="A130" s="19" t="s">
        <v>261</v>
      </c>
      <c r="B130" s="9"/>
      <c r="C130" s="9" t="s">
        <v>262</v>
      </c>
      <c r="D130" s="10"/>
      <c r="E130" s="11"/>
    </row>
    <row r="131" customFormat="false" ht="18.75" hidden="false" customHeight="false" outlineLevel="0" collapsed="false">
      <c r="A131" s="19" t="s">
        <v>263</v>
      </c>
      <c r="B131" s="9"/>
      <c r="C131" s="9" t="s">
        <v>264</v>
      </c>
      <c r="D131" s="10" t="s">
        <v>265</v>
      </c>
      <c r="E131" s="11"/>
    </row>
    <row r="132" customFormat="false" ht="18.75" hidden="false" customHeight="false" outlineLevel="0" collapsed="false">
      <c r="A132" s="19" t="s">
        <v>266</v>
      </c>
      <c r="B132" s="9"/>
      <c r="C132" s="9" t="s">
        <v>267</v>
      </c>
      <c r="D132" s="10" t="s">
        <v>268</v>
      </c>
      <c r="E132" s="11"/>
    </row>
    <row r="133" customFormat="false" ht="18.75" hidden="false" customHeight="false" outlineLevel="0" collapsed="false">
      <c r="A133" s="19" t="s">
        <v>269</v>
      </c>
      <c r="B133" s="9" t="s">
        <v>269</v>
      </c>
      <c r="C133" s="9" t="s">
        <v>269</v>
      </c>
      <c r="D133" s="10" t="s">
        <v>270</v>
      </c>
      <c r="E133" s="11"/>
    </row>
    <row r="134" customFormat="false" ht="18.75" hidden="false" customHeight="false" outlineLevel="0" collapsed="false">
      <c r="A134" s="12" t="s">
        <v>271</v>
      </c>
      <c r="B134" s="13" t="s">
        <v>271</v>
      </c>
      <c r="C134" s="13" t="s">
        <v>271</v>
      </c>
      <c r="D134" s="14" t="s">
        <v>272</v>
      </c>
      <c r="E134" s="15"/>
    </row>
    <row r="135" customFormat="false" ht="18.75" hidden="false" customHeight="false" outlineLevel="0" collapsed="false">
      <c r="A135" s="16" t="s">
        <v>273</v>
      </c>
      <c r="B135" s="17"/>
      <c r="C135" s="17"/>
      <c r="D135" s="17"/>
      <c r="E135" s="18"/>
    </row>
    <row r="136" customFormat="false" ht="18.75" hidden="false" customHeight="false" outlineLevel="0" collapsed="false">
      <c r="A136" s="2" t="s">
        <v>0</v>
      </c>
      <c r="B136" s="3" t="s">
        <v>1</v>
      </c>
      <c r="C136" s="3" t="s">
        <v>2</v>
      </c>
      <c r="D136" s="3" t="s">
        <v>3</v>
      </c>
      <c r="E136" s="4"/>
    </row>
    <row r="137" customFormat="false" ht="18.75" hidden="false" customHeight="false" outlineLevel="0" collapsed="false">
      <c r="A137" s="5" t="s">
        <v>274</v>
      </c>
      <c r="B137" s="6" t="s">
        <v>274</v>
      </c>
      <c r="C137" s="6" t="s">
        <v>275</v>
      </c>
      <c r="D137" s="7"/>
      <c r="E137" s="8"/>
    </row>
    <row r="138" customFormat="false" ht="18.75" hidden="false" customHeight="false" outlineLevel="0" collapsed="false">
      <c r="A138" s="5" t="s">
        <v>276</v>
      </c>
      <c r="B138" s="6" t="s">
        <v>276</v>
      </c>
      <c r="C138" s="6" t="s">
        <v>277</v>
      </c>
      <c r="D138" s="7"/>
      <c r="E138" s="8"/>
    </row>
    <row r="139" customFormat="false" ht="18.75" hidden="false" customHeight="false" outlineLevel="0" collapsed="false">
      <c r="A139" s="5" t="s">
        <v>278</v>
      </c>
      <c r="B139" s="6" t="s">
        <v>278</v>
      </c>
      <c r="C139" s="6" t="s">
        <v>279</v>
      </c>
      <c r="D139" s="7"/>
      <c r="E139" s="8"/>
    </row>
    <row r="140" customFormat="false" ht="18.75" hidden="false" customHeight="false" outlineLevel="0" collapsed="false">
      <c r="A140" s="5" t="s">
        <v>280</v>
      </c>
      <c r="B140" s="6" t="s">
        <v>280</v>
      </c>
      <c r="C140" s="6" t="s">
        <v>281</v>
      </c>
      <c r="D140" s="7"/>
      <c r="E140" s="8"/>
    </row>
    <row r="141" customFormat="false" ht="18.75" hidden="false" customHeight="false" outlineLevel="0" collapsed="false">
      <c r="A141" s="12"/>
      <c r="B141" s="13"/>
      <c r="C141" s="13"/>
      <c r="D141" s="20"/>
      <c r="E141" s="21"/>
    </row>
    <row r="142" customFormat="false" ht="18.75" hidden="false" customHeight="false" outlineLevel="0" collapsed="false">
      <c r="A142" s="16" t="s">
        <v>282</v>
      </c>
      <c r="B142" s="17"/>
      <c r="C142" s="17"/>
      <c r="D142" s="17"/>
      <c r="E142" s="18"/>
    </row>
    <row r="143" customFormat="false" ht="18.75" hidden="false" customHeight="false" outlineLevel="0" collapsed="false">
      <c r="A143" s="2" t="s">
        <v>0</v>
      </c>
      <c r="B143" s="3" t="s">
        <v>1</v>
      </c>
      <c r="C143" s="3" t="s">
        <v>2</v>
      </c>
      <c r="D143" s="3" t="s">
        <v>3</v>
      </c>
      <c r="E143" s="4"/>
    </row>
    <row r="144" customFormat="false" ht="18.75" hidden="false" customHeight="false" outlineLevel="0" collapsed="false">
      <c r="A144" s="5" t="s">
        <v>283</v>
      </c>
      <c r="B144" s="6" t="s">
        <v>283</v>
      </c>
      <c r="C144" s="6" t="s">
        <v>284</v>
      </c>
      <c r="D144" s="7" t="s">
        <v>285</v>
      </c>
      <c r="E144" s="8"/>
    </row>
    <row r="145" customFormat="false" ht="18.75" hidden="false" customHeight="false" outlineLevel="0" collapsed="false">
      <c r="A145" s="5" t="s">
        <v>286</v>
      </c>
      <c r="B145" s="6" t="s">
        <v>286</v>
      </c>
      <c r="C145" s="6" t="s">
        <v>287</v>
      </c>
      <c r="D145" s="7" t="s">
        <v>288</v>
      </c>
      <c r="E145" s="8"/>
    </row>
    <row r="146" customFormat="false" ht="18.75" hidden="false" customHeight="false" outlineLevel="0" collapsed="false">
      <c r="A146" s="5" t="s">
        <v>289</v>
      </c>
      <c r="B146" s="6" t="s">
        <v>289</v>
      </c>
      <c r="C146" s="6" t="s">
        <v>290</v>
      </c>
      <c r="D146" s="7" t="s">
        <v>291</v>
      </c>
      <c r="E146" s="8"/>
    </row>
    <row r="147" customFormat="false" ht="18.75" hidden="false" customHeight="false" outlineLevel="0" collapsed="false">
      <c r="A147" s="19" t="s">
        <v>292</v>
      </c>
      <c r="B147" s="9" t="s">
        <v>292</v>
      </c>
      <c r="C147" s="9" t="s">
        <v>293</v>
      </c>
      <c r="D147" s="10" t="s">
        <v>294</v>
      </c>
      <c r="E147" s="11"/>
    </row>
    <row r="148" customFormat="false" ht="18.75" hidden="false" customHeight="false" outlineLevel="0" collapsed="false">
      <c r="A148" s="5" t="s">
        <v>295</v>
      </c>
      <c r="B148" s="6" t="s">
        <v>295</v>
      </c>
      <c r="C148" s="6" t="s">
        <v>296</v>
      </c>
      <c r="D148" s="7" t="s">
        <v>297</v>
      </c>
      <c r="E148" s="8"/>
    </row>
    <row r="149" customFormat="false" ht="18.75" hidden="false" customHeight="false" outlineLevel="0" collapsed="false">
      <c r="A149" s="5" t="s">
        <v>298</v>
      </c>
      <c r="B149" s="6" t="s">
        <v>298</v>
      </c>
      <c r="C149" s="6" t="s">
        <v>299</v>
      </c>
      <c r="D149" s="7" t="s">
        <v>300</v>
      </c>
      <c r="E149" s="8"/>
    </row>
    <row r="150" customFormat="false" ht="18.75" hidden="false" customHeight="false" outlineLevel="0" collapsed="false">
      <c r="A150" s="12"/>
      <c r="B150" s="13"/>
      <c r="C150" s="13"/>
      <c r="D150" s="20"/>
      <c r="E150" s="21"/>
    </row>
    <row r="151" customFormat="false" ht="18.75" hidden="false" customHeight="false" outlineLevel="0" collapsed="false">
      <c r="A151" s="16" t="s">
        <v>301</v>
      </c>
      <c r="B151" s="17"/>
      <c r="C151" s="17"/>
      <c r="D151" s="17"/>
      <c r="E151" s="18"/>
    </row>
    <row r="152" customFormat="false" ht="18.75" hidden="false" customHeight="false" outlineLevel="0" collapsed="false">
      <c r="A152" s="2" t="s">
        <v>0</v>
      </c>
      <c r="B152" s="3" t="s">
        <v>1</v>
      </c>
      <c r="C152" s="3" t="s">
        <v>2</v>
      </c>
      <c r="D152" s="3" t="s">
        <v>3</v>
      </c>
      <c r="E152" s="4"/>
    </row>
    <row r="153" customFormat="false" ht="18.75" hidden="false" customHeight="false" outlineLevel="0" collapsed="false">
      <c r="A153" s="5" t="s">
        <v>302</v>
      </c>
      <c r="B153" s="6"/>
      <c r="C153" s="6" t="s">
        <v>303</v>
      </c>
      <c r="D153" s="7" t="s">
        <v>304</v>
      </c>
      <c r="E153" s="8"/>
    </row>
    <row r="154" customFormat="false" ht="18.75" hidden="false" customHeight="false" outlineLevel="0" collapsed="false">
      <c r="A154" s="5" t="s">
        <v>305</v>
      </c>
      <c r="B154" s="6"/>
      <c r="C154" s="6" t="s">
        <v>306</v>
      </c>
      <c r="D154" s="7" t="s">
        <v>307</v>
      </c>
      <c r="E154" s="8"/>
    </row>
    <row r="155" customFormat="false" ht="18.75" hidden="false" customHeight="false" outlineLevel="0" collapsed="false">
      <c r="A155" s="5"/>
      <c r="B155" s="6"/>
      <c r="C155" s="6"/>
      <c r="D155" s="7"/>
      <c r="E155" s="8"/>
    </row>
    <row r="156" customFormat="false" ht="18.75" hidden="false" customHeight="false" outlineLevel="0" collapsed="false">
      <c r="A156" s="19"/>
      <c r="B156" s="9"/>
      <c r="C156" s="9"/>
      <c r="D156" s="10"/>
      <c r="E156" s="11"/>
    </row>
    <row r="157" customFormat="false" ht="18.75" hidden="false" customHeight="false" outlineLevel="0" collapsed="false">
      <c r="A157" s="12"/>
      <c r="B157" s="13"/>
      <c r="C157" s="13"/>
      <c r="D157" s="14"/>
      <c r="E157" s="15"/>
    </row>
    <row r="158" customFormat="false" ht="18.75" hidden="false" customHeight="false" outlineLevel="0" collapsed="false">
      <c r="A158" s="16" t="s">
        <v>308</v>
      </c>
      <c r="B158" s="17"/>
      <c r="C158" s="17"/>
      <c r="D158" s="17"/>
      <c r="E158" s="18"/>
    </row>
    <row r="159" customFormat="false" ht="18.75" hidden="false" customHeight="false" outlineLevel="0" collapsed="false">
      <c r="A159" s="2" t="s">
        <v>0</v>
      </c>
      <c r="B159" s="3" t="s">
        <v>1</v>
      </c>
      <c r="C159" s="3" t="s">
        <v>2</v>
      </c>
      <c r="D159" s="3" t="s">
        <v>3</v>
      </c>
      <c r="E159" s="4"/>
    </row>
    <row r="160" customFormat="false" ht="43.25" hidden="false" customHeight="false" outlineLevel="0" collapsed="false">
      <c r="A160" s="5" t="s">
        <v>309</v>
      </c>
      <c r="B160" s="6" t="s">
        <v>309</v>
      </c>
      <c r="C160" s="6" t="s">
        <v>310</v>
      </c>
      <c r="D160" s="22" t="s">
        <v>311</v>
      </c>
      <c r="E160" s="23"/>
    </row>
    <row r="161" customFormat="false" ht="43.25" hidden="false" customHeight="false" outlineLevel="0" collapsed="false">
      <c r="A161" s="5" t="s">
        <v>312</v>
      </c>
      <c r="B161" s="6" t="s">
        <v>312</v>
      </c>
      <c r="C161" s="6" t="s">
        <v>313</v>
      </c>
      <c r="D161" s="22" t="s">
        <v>314</v>
      </c>
      <c r="E161" s="23"/>
    </row>
    <row r="162" customFormat="false" ht="18.75" hidden="false" customHeight="false" outlineLevel="0" collapsed="false">
      <c r="A162" s="5"/>
      <c r="B162" s="6"/>
      <c r="C162" s="6"/>
      <c r="D162" s="7"/>
      <c r="E162" s="8"/>
    </row>
    <row r="163" customFormat="false" ht="18.75" hidden="false" customHeight="false" outlineLevel="0" collapsed="false">
      <c r="A163" s="19"/>
      <c r="B163" s="9"/>
      <c r="C163" s="9"/>
      <c r="D163" s="10"/>
      <c r="E163" s="11"/>
    </row>
    <row r="164" customFormat="false" ht="18.75" hidden="false" customHeight="false" outlineLevel="0" collapsed="false">
      <c r="A164" s="12"/>
      <c r="B164" s="13"/>
      <c r="C164" s="13"/>
      <c r="D164" s="14"/>
      <c r="E164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3.5" customHeight="true" zeroHeight="false" outlineLevelRow="0" outlineLevelCol="0"/>
  <cols>
    <col collapsed="false" customWidth="true" hidden="false" outlineLevel="0" max="15" min="2" style="24" width="14.96"/>
  </cols>
  <sheetData>
    <row r="1" customFormat="false" ht="21" hidden="false" customHeight="true" outlineLevel="0" collapsed="false">
      <c r="A1" s="25"/>
      <c r="B1" s="25" t="s">
        <v>315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customFormat="false" ht="21" hidden="false" customHeight="true" outlineLevel="0" collapsed="false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customFormat="false" ht="21" hidden="false" customHeight="true" outlineLevel="0" collapsed="false">
      <c r="A3" s="26" t="s">
        <v>316</v>
      </c>
      <c r="B3" s="27" t="s">
        <v>97</v>
      </c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8" t="s">
        <v>271</v>
      </c>
      <c r="I3" s="28" t="s">
        <v>271</v>
      </c>
      <c r="J3" s="27" t="n">
        <v>6</v>
      </c>
      <c r="K3" s="27" t="n">
        <v>7</v>
      </c>
      <c r="L3" s="27" t="n">
        <v>8</v>
      </c>
      <c r="M3" s="27" t="n">
        <v>9</v>
      </c>
      <c r="N3" s="27" t="n">
        <v>0</v>
      </c>
      <c r="O3" s="29" t="s">
        <v>143</v>
      </c>
    </row>
    <row r="4" customFormat="false" ht="21" hidden="false" customHeight="true" outlineLevel="0" collapsed="false">
      <c r="A4" s="30"/>
      <c r="B4" s="31" t="s">
        <v>127</v>
      </c>
      <c r="C4" s="31" t="s">
        <v>41</v>
      </c>
      <c r="D4" s="31" t="s">
        <v>53</v>
      </c>
      <c r="E4" s="31" t="s">
        <v>17</v>
      </c>
      <c r="F4" s="31" t="s">
        <v>43</v>
      </c>
      <c r="G4" s="31" t="s">
        <v>47</v>
      </c>
      <c r="H4" s="32" t="s">
        <v>271</v>
      </c>
      <c r="I4" s="32" t="s">
        <v>271</v>
      </c>
      <c r="J4" s="31" t="s">
        <v>57</v>
      </c>
      <c r="K4" s="31" t="s">
        <v>49</v>
      </c>
      <c r="L4" s="31" t="s">
        <v>25</v>
      </c>
      <c r="M4" s="31" t="s">
        <v>37</v>
      </c>
      <c r="N4" s="31" t="s">
        <v>39</v>
      </c>
      <c r="O4" s="33" t="s">
        <v>145</v>
      </c>
    </row>
    <row r="5" customFormat="false" ht="21" hidden="false" customHeight="true" outlineLevel="0" collapsed="false">
      <c r="A5" s="30"/>
      <c r="B5" s="31" t="s">
        <v>101</v>
      </c>
      <c r="C5" s="31" t="s">
        <v>9</v>
      </c>
      <c r="D5" s="31" t="s">
        <v>45</v>
      </c>
      <c r="E5" s="31" t="s">
        <v>15</v>
      </c>
      <c r="F5" s="31" t="s">
        <v>19</v>
      </c>
      <c r="G5" s="31" t="s">
        <v>21</v>
      </c>
      <c r="H5" s="32" t="s">
        <v>271</v>
      </c>
      <c r="I5" s="32" t="s">
        <v>271</v>
      </c>
      <c r="J5" s="31" t="s">
        <v>23</v>
      </c>
      <c r="K5" s="31" t="s">
        <v>27</v>
      </c>
      <c r="L5" s="31" t="s">
        <v>29</v>
      </c>
      <c r="M5" s="31" t="s">
        <v>31</v>
      </c>
      <c r="N5" s="31" t="s">
        <v>148</v>
      </c>
      <c r="O5" s="33" t="s">
        <v>150</v>
      </c>
    </row>
    <row r="6" customFormat="false" ht="21" hidden="false" customHeight="true" outlineLevel="0" collapsed="false">
      <c r="A6" s="30"/>
      <c r="B6" s="31" t="s">
        <v>123</v>
      </c>
      <c r="C6" s="31" t="s">
        <v>59</v>
      </c>
      <c r="D6" s="31" t="s">
        <v>55</v>
      </c>
      <c r="E6" s="31" t="s">
        <v>13</v>
      </c>
      <c r="F6" s="31" t="s">
        <v>51</v>
      </c>
      <c r="G6" s="31" t="s">
        <v>11</v>
      </c>
      <c r="H6" s="31" t="s">
        <v>99</v>
      </c>
      <c r="I6" s="31" t="s">
        <v>105</v>
      </c>
      <c r="J6" s="31" t="s">
        <v>35</v>
      </c>
      <c r="K6" s="31" t="s">
        <v>33</v>
      </c>
      <c r="L6" s="31" t="s">
        <v>153</v>
      </c>
      <c r="M6" s="31" t="s">
        <v>155</v>
      </c>
      <c r="N6" s="31" t="s">
        <v>157</v>
      </c>
      <c r="O6" s="33" t="s">
        <v>159</v>
      </c>
    </row>
    <row r="7" customFormat="false" ht="21" hidden="false" customHeight="true" outlineLevel="0" collapsed="false">
      <c r="A7" s="34"/>
      <c r="B7" s="35" t="s">
        <v>271</v>
      </c>
      <c r="C7" s="35" t="s">
        <v>271</v>
      </c>
      <c r="D7" s="35" t="s">
        <v>271</v>
      </c>
      <c r="E7" s="36" t="s">
        <v>129</v>
      </c>
      <c r="F7" s="36" t="s">
        <v>292</v>
      </c>
      <c r="G7" s="36" t="s">
        <v>286</v>
      </c>
      <c r="H7" s="36" t="s">
        <v>305</v>
      </c>
      <c r="I7" s="36" t="s">
        <v>302</v>
      </c>
      <c r="J7" s="36" t="s">
        <v>283</v>
      </c>
      <c r="K7" s="36" t="s">
        <v>289</v>
      </c>
      <c r="L7" s="36" t="s">
        <v>140</v>
      </c>
      <c r="M7" s="35" t="s">
        <v>269</v>
      </c>
      <c r="N7" s="35" t="s">
        <v>269</v>
      </c>
      <c r="O7" s="37" t="s">
        <v>269</v>
      </c>
    </row>
    <row r="8" customFormat="false" ht="21" hidden="false" customHeight="true" outlineLevel="0" collapsed="false">
      <c r="A8" s="26" t="s">
        <v>317</v>
      </c>
      <c r="B8" s="27" t="s">
        <v>7</v>
      </c>
      <c r="C8" s="27" t="s">
        <v>7</v>
      </c>
      <c r="D8" s="27" t="s">
        <v>7</v>
      </c>
      <c r="E8" s="27" t="s">
        <v>7</v>
      </c>
      <c r="F8" s="27" t="s">
        <v>7</v>
      </c>
      <c r="G8" s="27" t="s">
        <v>7</v>
      </c>
      <c r="H8" s="28" t="s">
        <v>271</v>
      </c>
      <c r="I8" s="28" t="s">
        <v>271</v>
      </c>
      <c r="J8" s="27" t="s">
        <v>7</v>
      </c>
      <c r="K8" s="27" t="s">
        <v>7</v>
      </c>
      <c r="L8" s="27" t="s">
        <v>7</v>
      </c>
      <c r="M8" s="27" t="s">
        <v>7</v>
      </c>
      <c r="N8" s="27" t="s">
        <v>7</v>
      </c>
      <c r="O8" s="29" t="s">
        <v>7</v>
      </c>
    </row>
    <row r="9" customFormat="false" ht="21" hidden="false" customHeight="true" outlineLevel="0" collapsed="false">
      <c r="A9" s="30"/>
      <c r="B9" s="31" t="s">
        <v>140</v>
      </c>
      <c r="C9" s="31" t="s">
        <v>216</v>
      </c>
      <c r="D9" s="31" t="s">
        <v>218</v>
      </c>
      <c r="E9" s="31" t="s">
        <v>220</v>
      </c>
      <c r="F9" s="31" t="s">
        <v>222</v>
      </c>
      <c r="G9" s="31" t="s">
        <v>224</v>
      </c>
      <c r="H9" s="32" t="s">
        <v>271</v>
      </c>
      <c r="I9" s="32" t="s">
        <v>271</v>
      </c>
      <c r="J9" s="31" t="s">
        <v>226</v>
      </c>
      <c r="K9" s="31" t="s">
        <v>228</v>
      </c>
      <c r="L9" s="31" t="s">
        <v>230</v>
      </c>
      <c r="M9" s="31" t="s">
        <v>232</v>
      </c>
      <c r="N9" s="31"/>
      <c r="O9" s="33"/>
    </row>
    <row r="10" customFormat="false" ht="21" hidden="false" customHeight="true" outlineLevel="0" collapsed="false">
      <c r="A10" s="30"/>
      <c r="B10" s="31" t="s">
        <v>129</v>
      </c>
      <c r="C10" s="31"/>
      <c r="D10" s="31" t="s">
        <v>107</v>
      </c>
      <c r="E10" s="31" t="s">
        <v>109</v>
      </c>
      <c r="F10" s="31" t="s">
        <v>111</v>
      </c>
      <c r="G10" s="31" t="s">
        <v>113</v>
      </c>
      <c r="H10" s="32" t="s">
        <v>271</v>
      </c>
      <c r="I10" s="32" t="s">
        <v>271</v>
      </c>
      <c r="J10" s="31" t="s">
        <v>115</v>
      </c>
      <c r="K10" s="31" t="s">
        <v>117</v>
      </c>
      <c r="L10" s="31" t="s">
        <v>119</v>
      </c>
      <c r="M10" s="31" t="s">
        <v>121</v>
      </c>
      <c r="N10" s="31" t="s">
        <v>166</v>
      </c>
      <c r="O10" s="33" t="s">
        <v>143</v>
      </c>
    </row>
    <row r="11" customFormat="false" ht="21" hidden="false" customHeight="true" outlineLevel="0" collapsed="false">
      <c r="A11" s="30"/>
      <c r="B11" s="31" t="s">
        <v>7</v>
      </c>
      <c r="C11" s="31" t="s">
        <v>127</v>
      </c>
      <c r="D11" s="31"/>
      <c r="E11" s="31"/>
      <c r="F11" s="31" t="s">
        <v>174</v>
      </c>
      <c r="G11" s="31" t="s">
        <v>99</v>
      </c>
      <c r="H11" s="31" t="s">
        <v>7</v>
      </c>
      <c r="I11" s="31" t="s">
        <v>7</v>
      </c>
      <c r="J11" s="31" t="s">
        <v>105</v>
      </c>
      <c r="K11" s="31" t="s">
        <v>177</v>
      </c>
      <c r="L11" s="31" t="s">
        <v>146</v>
      </c>
      <c r="M11" s="31" t="s">
        <v>163</v>
      </c>
      <c r="N11" s="31" t="s">
        <v>236</v>
      </c>
      <c r="O11" s="33" t="s">
        <v>239</v>
      </c>
    </row>
    <row r="12" customFormat="false" ht="21" hidden="false" customHeight="true" outlineLevel="0" collapsed="false">
      <c r="A12" s="34"/>
      <c r="B12" s="35" t="s">
        <v>271</v>
      </c>
      <c r="C12" s="35" t="s">
        <v>271</v>
      </c>
      <c r="D12" s="35" t="s">
        <v>271</v>
      </c>
      <c r="E12" s="36" t="s">
        <v>7</v>
      </c>
      <c r="F12" s="36" t="s">
        <v>7</v>
      </c>
      <c r="G12" s="36" t="s">
        <v>7</v>
      </c>
      <c r="H12" s="36" t="s">
        <v>7</v>
      </c>
      <c r="I12" s="36" t="s">
        <v>7</v>
      </c>
      <c r="J12" s="36" t="s">
        <v>7</v>
      </c>
      <c r="K12" s="36" t="s">
        <v>7</v>
      </c>
      <c r="L12" s="36" t="s">
        <v>7</v>
      </c>
      <c r="M12" s="35" t="s">
        <v>269</v>
      </c>
      <c r="N12" s="35" t="s">
        <v>269</v>
      </c>
      <c r="O12" s="37" t="s">
        <v>269</v>
      </c>
    </row>
    <row r="13" customFormat="false" ht="21" hidden="false" customHeight="true" outlineLevel="0" collapsed="false">
      <c r="A13" s="26" t="s">
        <v>318</v>
      </c>
      <c r="B13" s="27" t="s">
        <v>71</v>
      </c>
      <c r="C13" s="27" t="s">
        <v>73</v>
      </c>
      <c r="D13" s="27" t="s">
        <v>75</v>
      </c>
      <c r="E13" s="27" t="s">
        <v>77</v>
      </c>
      <c r="F13" s="27" t="s">
        <v>79</v>
      </c>
      <c r="G13" s="27" t="s">
        <v>81</v>
      </c>
      <c r="H13" s="28" t="s">
        <v>271</v>
      </c>
      <c r="I13" s="28" t="s">
        <v>271</v>
      </c>
      <c r="J13" s="27" t="s">
        <v>83</v>
      </c>
      <c r="K13" s="27" t="s">
        <v>85</v>
      </c>
      <c r="L13" s="27" t="s">
        <v>87</v>
      </c>
      <c r="M13" s="27" t="s">
        <v>89</v>
      </c>
      <c r="N13" s="27" t="s">
        <v>91</v>
      </c>
      <c r="O13" s="29" t="s">
        <v>93</v>
      </c>
    </row>
    <row r="14" customFormat="false" ht="21" hidden="false" customHeight="true" outlineLevel="0" collapsed="false">
      <c r="A14" s="30"/>
      <c r="B14" s="31"/>
      <c r="C14" s="31"/>
      <c r="D14" s="31"/>
      <c r="E14" s="31"/>
      <c r="F14" s="31"/>
      <c r="G14" s="31"/>
      <c r="H14" s="32" t="s">
        <v>271</v>
      </c>
      <c r="I14" s="32" t="s">
        <v>271</v>
      </c>
      <c r="J14" s="31"/>
      <c r="K14" s="31"/>
      <c r="L14" s="31"/>
      <c r="M14" s="31"/>
      <c r="N14" s="31"/>
      <c r="O14" s="33"/>
    </row>
    <row r="15" customFormat="false" ht="21" hidden="false" customHeight="true" outlineLevel="0" collapsed="false">
      <c r="A15" s="30"/>
      <c r="B15" s="31" t="s">
        <v>172</v>
      </c>
      <c r="C15" s="31" t="n">
        <v>1</v>
      </c>
      <c r="D15" s="31" t="n">
        <v>2</v>
      </c>
      <c r="E15" s="31" t="n">
        <v>3</v>
      </c>
      <c r="F15" s="31" t="n">
        <v>4</v>
      </c>
      <c r="G15" s="31" t="n">
        <v>5</v>
      </c>
      <c r="H15" s="32" t="s">
        <v>271</v>
      </c>
      <c r="I15" s="32" t="s">
        <v>271</v>
      </c>
      <c r="J15" s="31" t="n">
        <v>6</v>
      </c>
      <c r="K15" s="31" t="n">
        <v>7</v>
      </c>
      <c r="L15" s="31" t="n">
        <v>8</v>
      </c>
      <c r="M15" s="31" t="n">
        <v>9</v>
      </c>
      <c r="N15" s="31" t="n">
        <v>0</v>
      </c>
      <c r="O15" s="33" t="s">
        <v>7</v>
      </c>
    </row>
    <row r="16" customFormat="false" ht="21" hidden="false" customHeight="true" outlineLevel="0" collapsed="false">
      <c r="A16" s="30"/>
      <c r="B16" s="31" t="s">
        <v>7</v>
      </c>
      <c r="C16" s="31" t="s">
        <v>7</v>
      </c>
      <c r="D16" s="31" t="s">
        <v>278</v>
      </c>
      <c r="E16" s="31" t="s">
        <v>280</v>
      </c>
      <c r="F16" s="31" t="s">
        <v>7</v>
      </c>
      <c r="G16" s="31" t="s">
        <v>7</v>
      </c>
      <c r="H16" s="31" t="s">
        <v>7</v>
      </c>
      <c r="I16" s="31" t="s">
        <v>7</v>
      </c>
      <c r="J16" s="31" t="s">
        <v>7</v>
      </c>
      <c r="K16" s="31" t="s">
        <v>7</v>
      </c>
      <c r="L16" s="31" t="s">
        <v>153</v>
      </c>
      <c r="M16" s="31" t="s">
        <v>155</v>
      </c>
      <c r="N16" s="31" t="s">
        <v>157</v>
      </c>
      <c r="O16" s="33" t="s">
        <v>159</v>
      </c>
    </row>
    <row r="17" customFormat="false" ht="21" hidden="false" customHeight="true" outlineLevel="0" collapsed="false">
      <c r="A17" s="34"/>
      <c r="B17" s="35" t="s">
        <v>271</v>
      </c>
      <c r="C17" s="35" t="s">
        <v>271</v>
      </c>
      <c r="D17" s="35" t="s">
        <v>271</v>
      </c>
      <c r="E17" s="36" t="s">
        <v>7</v>
      </c>
      <c r="F17" s="36" t="s">
        <v>7</v>
      </c>
      <c r="G17" s="36" t="s">
        <v>7</v>
      </c>
      <c r="H17" s="36" t="s">
        <v>7</v>
      </c>
      <c r="I17" s="36" t="s">
        <v>7</v>
      </c>
      <c r="J17" s="36" t="s">
        <v>7</v>
      </c>
      <c r="K17" s="36" t="s">
        <v>7</v>
      </c>
      <c r="L17" s="36" t="s">
        <v>7</v>
      </c>
      <c r="M17" s="35" t="s">
        <v>269</v>
      </c>
      <c r="N17" s="35" t="s">
        <v>269</v>
      </c>
      <c r="O17" s="37" t="s">
        <v>269</v>
      </c>
    </row>
    <row r="18" customFormat="false" ht="21" hidden="false" customHeight="true" outlineLevel="0" collapsed="false">
      <c r="A18" s="26" t="s">
        <v>319</v>
      </c>
      <c r="B18" s="27" t="s">
        <v>97</v>
      </c>
      <c r="C18" s="27" t="n">
        <v>1</v>
      </c>
      <c r="D18" s="27" t="n">
        <v>2</v>
      </c>
      <c r="E18" s="27" t="n">
        <v>3</v>
      </c>
      <c r="F18" s="27" t="n">
        <v>4</v>
      </c>
      <c r="G18" s="27" t="n">
        <v>5</v>
      </c>
      <c r="H18" s="28" t="s">
        <v>271</v>
      </c>
      <c r="I18" s="28" t="s">
        <v>271</v>
      </c>
      <c r="J18" s="27" t="n">
        <v>6</v>
      </c>
      <c r="K18" s="27" t="n">
        <v>7</v>
      </c>
      <c r="L18" s="27" t="n">
        <v>8</v>
      </c>
      <c r="M18" s="27" t="n">
        <v>9</v>
      </c>
      <c r="N18" s="27" t="n">
        <v>0</v>
      </c>
      <c r="O18" s="29" t="s">
        <v>143</v>
      </c>
    </row>
    <row r="19" customFormat="false" ht="21" hidden="false" customHeight="true" outlineLevel="0" collapsed="false">
      <c r="A19" s="30"/>
      <c r="B19" s="31" t="s">
        <v>101</v>
      </c>
      <c r="C19" s="31" t="s">
        <v>41</v>
      </c>
      <c r="D19" s="31" t="s">
        <v>53</v>
      </c>
      <c r="E19" s="31" t="s">
        <v>17</v>
      </c>
      <c r="F19" s="31" t="s">
        <v>43</v>
      </c>
      <c r="G19" s="31" t="s">
        <v>47</v>
      </c>
      <c r="H19" s="32" t="s">
        <v>271</v>
      </c>
      <c r="I19" s="32" t="s">
        <v>271</v>
      </c>
      <c r="J19" s="31" t="s">
        <v>57</v>
      </c>
      <c r="K19" s="31" t="s">
        <v>49</v>
      </c>
      <c r="L19" s="31" t="s">
        <v>25</v>
      </c>
      <c r="M19" s="31" t="s">
        <v>37</v>
      </c>
      <c r="N19" s="31" t="s">
        <v>39</v>
      </c>
      <c r="O19" s="33" t="s">
        <v>145</v>
      </c>
    </row>
    <row r="20" customFormat="false" ht="21" hidden="false" customHeight="true" outlineLevel="0" collapsed="false">
      <c r="A20" s="30"/>
      <c r="B20" s="31" t="s">
        <v>123</v>
      </c>
      <c r="C20" s="31" t="s">
        <v>9</v>
      </c>
      <c r="D20" s="31" t="s">
        <v>45</v>
      </c>
      <c r="E20" s="31" t="s">
        <v>15</v>
      </c>
      <c r="F20" s="31" t="s">
        <v>19</v>
      </c>
      <c r="G20" s="31" t="s">
        <v>21</v>
      </c>
      <c r="H20" s="32" t="s">
        <v>271</v>
      </c>
      <c r="I20" s="32" t="s">
        <v>271</v>
      </c>
      <c r="J20" s="31" t="s">
        <v>23</v>
      </c>
      <c r="K20" s="31" t="s">
        <v>27</v>
      </c>
      <c r="L20" s="31" t="s">
        <v>29</v>
      </c>
      <c r="M20" s="31" t="s">
        <v>31</v>
      </c>
      <c r="N20" s="31" t="s">
        <v>148</v>
      </c>
      <c r="O20" s="33" t="s">
        <v>150</v>
      </c>
    </row>
    <row r="21" customFormat="false" ht="21" hidden="false" customHeight="true" outlineLevel="0" collapsed="false">
      <c r="A21" s="30"/>
      <c r="B21" s="31" t="s">
        <v>125</v>
      </c>
      <c r="C21" s="31" t="s">
        <v>59</v>
      </c>
      <c r="D21" s="31" t="s">
        <v>55</v>
      </c>
      <c r="E21" s="31" t="s">
        <v>13</v>
      </c>
      <c r="F21" s="31" t="s">
        <v>51</v>
      </c>
      <c r="G21" s="31" t="s">
        <v>11</v>
      </c>
      <c r="H21" s="31" t="s">
        <v>7</v>
      </c>
      <c r="I21" s="31" t="s">
        <v>7</v>
      </c>
      <c r="J21" s="31" t="s">
        <v>35</v>
      </c>
      <c r="K21" s="31" t="s">
        <v>33</v>
      </c>
      <c r="L21" s="31" t="s">
        <v>7</v>
      </c>
      <c r="M21" s="31" t="s">
        <v>7</v>
      </c>
      <c r="N21" s="31" t="s">
        <v>7</v>
      </c>
      <c r="O21" s="33" t="s">
        <v>7</v>
      </c>
    </row>
    <row r="22" customFormat="false" ht="21" hidden="false" customHeight="true" outlineLevel="0" collapsed="false">
      <c r="A22" s="34"/>
      <c r="B22" s="35" t="s">
        <v>271</v>
      </c>
      <c r="C22" s="35" t="s">
        <v>271</v>
      </c>
      <c r="D22" s="35" t="s">
        <v>271</v>
      </c>
      <c r="E22" s="36" t="s">
        <v>7</v>
      </c>
      <c r="F22" s="36" t="s">
        <v>292</v>
      </c>
      <c r="G22" s="36" t="s">
        <v>103</v>
      </c>
      <c r="H22" s="36" t="s">
        <v>298</v>
      </c>
      <c r="I22" s="36" t="s">
        <v>295</v>
      </c>
      <c r="J22" s="36" t="s">
        <v>95</v>
      </c>
      <c r="K22" s="36" t="s">
        <v>289</v>
      </c>
      <c r="L22" s="36" t="s">
        <v>7</v>
      </c>
      <c r="M22" s="35" t="s">
        <v>269</v>
      </c>
      <c r="N22" s="35" t="s">
        <v>269</v>
      </c>
      <c r="O22" s="37" t="s">
        <v>269</v>
      </c>
    </row>
    <row r="23" customFormat="false" ht="21" hidden="false" customHeight="true" outlineLevel="0" collapsed="false">
      <c r="A23" s="26" t="s">
        <v>320</v>
      </c>
      <c r="B23" s="27" t="s">
        <v>7</v>
      </c>
      <c r="C23" s="27" t="s">
        <v>7</v>
      </c>
      <c r="D23" s="27" t="s">
        <v>7</v>
      </c>
      <c r="E23" s="27" t="s">
        <v>7</v>
      </c>
      <c r="F23" s="27" t="s">
        <v>7</v>
      </c>
      <c r="G23" s="27" t="s">
        <v>7</v>
      </c>
      <c r="H23" s="28" t="s">
        <v>271</v>
      </c>
      <c r="I23" s="28" t="s">
        <v>271</v>
      </c>
      <c r="J23" s="27" t="s">
        <v>7</v>
      </c>
      <c r="K23" s="27" t="s">
        <v>7</v>
      </c>
      <c r="L23" s="27" t="s">
        <v>7</v>
      </c>
      <c r="M23" s="27" t="s">
        <v>7</v>
      </c>
      <c r="N23" s="27" t="s">
        <v>7</v>
      </c>
      <c r="O23" s="29" t="s">
        <v>7</v>
      </c>
    </row>
    <row r="24" customFormat="false" ht="21" hidden="false" customHeight="true" outlineLevel="0" collapsed="false">
      <c r="A24" s="30"/>
      <c r="B24" s="31"/>
      <c r="C24" s="31" t="s">
        <v>216</v>
      </c>
      <c r="D24" s="31" t="s">
        <v>218</v>
      </c>
      <c r="E24" s="31" t="s">
        <v>220</v>
      </c>
      <c r="F24" s="31" t="s">
        <v>222</v>
      </c>
      <c r="G24" s="31" t="s">
        <v>224</v>
      </c>
      <c r="H24" s="32" t="s">
        <v>271</v>
      </c>
      <c r="I24" s="32" t="s">
        <v>271</v>
      </c>
      <c r="J24" s="31" t="s">
        <v>226</v>
      </c>
      <c r="K24" s="31" t="s">
        <v>228</v>
      </c>
      <c r="L24" s="31" t="s">
        <v>230</v>
      </c>
      <c r="M24" s="31" t="s">
        <v>232</v>
      </c>
      <c r="N24" s="31"/>
      <c r="O24" s="33"/>
    </row>
    <row r="25" customFormat="false" ht="21" hidden="false" customHeight="true" outlineLevel="0" collapsed="false">
      <c r="A25" s="30"/>
      <c r="B25" s="31"/>
      <c r="C25" s="31"/>
      <c r="D25" s="31" t="s">
        <v>107</v>
      </c>
      <c r="E25" s="31" t="s">
        <v>109</v>
      </c>
      <c r="F25" s="31" t="s">
        <v>111</v>
      </c>
      <c r="G25" s="31" t="s">
        <v>113</v>
      </c>
      <c r="H25" s="32" t="s">
        <v>271</v>
      </c>
      <c r="I25" s="32" t="s">
        <v>271</v>
      </c>
      <c r="J25" s="31" t="s">
        <v>115</v>
      </c>
      <c r="K25" s="31" t="s">
        <v>117</v>
      </c>
      <c r="L25" s="31" t="s">
        <v>119</v>
      </c>
      <c r="M25" s="31" t="s">
        <v>121</v>
      </c>
      <c r="N25" s="31" t="s">
        <v>166</v>
      </c>
      <c r="O25" s="33" t="s">
        <v>143</v>
      </c>
    </row>
    <row r="26" customFormat="false" ht="21" hidden="false" customHeight="true" outlineLevel="0" collapsed="false">
      <c r="A26" s="30"/>
      <c r="B26" s="31" t="s">
        <v>123</v>
      </c>
      <c r="C26" s="31" t="s">
        <v>127</v>
      </c>
      <c r="D26" s="31"/>
      <c r="E26" s="31"/>
      <c r="F26" s="31" t="s">
        <v>174</v>
      </c>
      <c r="G26" s="31" t="s">
        <v>99</v>
      </c>
      <c r="H26" s="31" t="s">
        <v>7</v>
      </c>
      <c r="I26" s="31" t="s">
        <v>7</v>
      </c>
      <c r="J26" s="31" t="s">
        <v>105</v>
      </c>
      <c r="K26" s="31" t="s">
        <v>177</v>
      </c>
      <c r="L26" s="31" t="s">
        <v>146</v>
      </c>
      <c r="M26" s="31" t="s">
        <v>163</v>
      </c>
      <c r="N26" s="31" t="s">
        <v>236</v>
      </c>
      <c r="O26" s="33" t="s">
        <v>239</v>
      </c>
    </row>
    <row r="27" customFormat="false" ht="21" hidden="false" customHeight="true" outlineLevel="0" collapsed="false">
      <c r="A27" s="34"/>
      <c r="B27" s="35" t="s">
        <v>271</v>
      </c>
      <c r="C27" s="35" t="s">
        <v>271</v>
      </c>
      <c r="D27" s="35" t="s">
        <v>271</v>
      </c>
      <c r="E27" s="36" t="s">
        <v>7</v>
      </c>
      <c r="F27" s="36" t="s">
        <v>7</v>
      </c>
      <c r="G27" s="36" t="s">
        <v>7</v>
      </c>
      <c r="H27" s="36" t="s">
        <v>7</v>
      </c>
      <c r="I27" s="36" t="s">
        <v>7</v>
      </c>
      <c r="J27" s="36" t="s">
        <v>7</v>
      </c>
      <c r="K27" s="36" t="s">
        <v>7</v>
      </c>
      <c r="L27" s="36" t="s">
        <v>7</v>
      </c>
      <c r="M27" s="35" t="s">
        <v>269</v>
      </c>
      <c r="N27" s="35" t="s">
        <v>269</v>
      </c>
      <c r="O27" s="37" t="s">
        <v>269</v>
      </c>
    </row>
    <row r="28" customFormat="false" ht="21" hidden="false" customHeight="true" outlineLevel="0" collapsed="false">
      <c r="A28" s="26" t="s">
        <v>321</v>
      </c>
      <c r="B28" s="27" t="s">
        <v>71</v>
      </c>
      <c r="C28" s="27" t="s">
        <v>73</v>
      </c>
      <c r="D28" s="27" t="s">
        <v>75</v>
      </c>
      <c r="E28" s="27" t="s">
        <v>77</v>
      </c>
      <c r="F28" s="27" t="s">
        <v>79</v>
      </c>
      <c r="G28" s="27" t="s">
        <v>81</v>
      </c>
      <c r="H28" s="28" t="s">
        <v>271</v>
      </c>
      <c r="I28" s="28" t="s">
        <v>271</v>
      </c>
      <c r="J28" s="27" t="s">
        <v>83</v>
      </c>
      <c r="K28" s="27" t="s">
        <v>85</v>
      </c>
      <c r="L28" s="27" t="s">
        <v>87</v>
      </c>
      <c r="M28" s="27" t="s">
        <v>89</v>
      </c>
      <c r="N28" s="27" t="s">
        <v>91</v>
      </c>
      <c r="O28" s="29" t="s">
        <v>93</v>
      </c>
    </row>
    <row r="29" customFormat="false" ht="21" hidden="false" customHeight="true" outlineLevel="0" collapsed="false">
      <c r="A29" s="30"/>
      <c r="B29" s="31"/>
      <c r="C29" s="31"/>
      <c r="D29" s="31"/>
      <c r="E29" s="31"/>
      <c r="F29" s="31"/>
      <c r="G29" s="31"/>
      <c r="H29" s="32" t="s">
        <v>271</v>
      </c>
      <c r="I29" s="32" t="s">
        <v>271</v>
      </c>
      <c r="J29" s="31"/>
      <c r="K29" s="31"/>
      <c r="L29" s="31"/>
      <c r="M29" s="31"/>
      <c r="N29" s="31"/>
      <c r="O29" s="33"/>
    </row>
    <row r="30" customFormat="false" ht="21" hidden="false" customHeight="true" outlineLevel="0" collapsed="false">
      <c r="A30" s="30"/>
      <c r="B30" s="31"/>
      <c r="C30" s="31" t="n">
        <v>1</v>
      </c>
      <c r="D30" s="31" t="n">
        <v>2</v>
      </c>
      <c r="E30" s="31" t="n">
        <v>3</v>
      </c>
      <c r="F30" s="31" t="n">
        <v>4</v>
      </c>
      <c r="G30" s="31" t="n">
        <v>5</v>
      </c>
      <c r="H30" s="32" t="s">
        <v>271</v>
      </c>
      <c r="I30" s="32" t="s">
        <v>271</v>
      </c>
      <c r="J30" s="31" t="n">
        <v>6</v>
      </c>
      <c r="K30" s="31" t="n">
        <v>7</v>
      </c>
      <c r="L30" s="31" t="n">
        <v>8</v>
      </c>
      <c r="M30" s="31" t="n">
        <v>9</v>
      </c>
      <c r="N30" s="31" t="n">
        <v>0</v>
      </c>
      <c r="O30" s="33" t="s">
        <v>7</v>
      </c>
    </row>
    <row r="31" customFormat="false" ht="21" hidden="false" customHeight="true" outlineLevel="0" collapsed="false">
      <c r="A31" s="30"/>
      <c r="B31" s="31" t="s">
        <v>7</v>
      </c>
      <c r="C31" s="31" t="s">
        <v>7</v>
      </c>
      <c r="D31" s="31" t="s">
        <v>182</v>
      </c>
      <c r="E31" s="31" t="s">
        <v>180</v>
      </c>
      <c r="F31" s="31" t="s">
        <v>7</v>
      </c>
      <c r="G31" s="31" t="s">
        <v>7</v>
      </c>
      <c r="H31" s="31" t="s">
        <v>7</v>
      </c>
      <c r="I31" s="31" t="s">
        <v>7</v>
      </c>
      <c r="J31" s="31" t="s">
        <v>7</v>
      </c>
      <c r="K31" s="31" t="s">
        <v>7</v>
      </c>
      <c r="L31" s="31" t="s">
        <v>153</v>
      </c>
      <c r="M31" s="31" t="s">
        <v>155</v>
      </c>
      <c r="N31" s="31" t="s">
        <v>157</v>
      </c>
      <c r="O31" s="33" t="s">
        <v>159</v>
      </c>
    </row>
    <row r="32" customFormat="false" ht="21" hidden="false" customHeight="true" outlineLevel="0" collapsed="false">
      <c r="A32" s="34"/>
      <c r="B32" s="35" t="s">
        <v>271</v>
      </c>
      <c r="C32" s="35" t="s">
        <v>271</v>
      </c>
      <c r="D32" s="35" t="s">
        <v>271</v>
      </c>
      <c r="E32" s="36" t="s">
        <v>7</v>
      </c>
      <c r="F32" s="36" t="s">
        <v>7</v>
      </c>
      <c r="G32" s="36" t="s">
        <v>7</v>
      </c>
      <c r="H32" s="36" t="s">
        <v>7</v>
      </c>
      <c r="I32" s="36" t="s">
        <v>7</v>
      </c>
      <c r="J32" s="36" t="s">
        <v>7</v>
      </c>
      <c r="K32" s="36" t="s">
        <v>7</v>
      </c>
      <c r="L32" s="36" t="s">
        <v>7</v>
      </c>
      <c r="M32" s="35" t="s">
        <v>269</v>
      </c>
      <c r="N32" s="35" t="s">
        <v>269</v>
      </c>
      <c r="O32" s="37" t="s">
        <v>269</v>
      </c>
    </row>
    <row r="33" customFormat="false" ht="21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customFormat="false" ht="21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customFormat="false" ht="21" hidden="false" customHeight="true" outlineLevel="0" collapsed="false">
      <c r="A35" s="26" t="s">
        <v>316</v>
      </c>
      <c r="B35" s="38" t="str">
        <f aca="false">IF(B3="",keycodes!$C$2,IF($B$1="Japanese",IF(INDEX(keycodes!$E:$E,MATCH(B3,keycodes!$A:$A,0),0)&lt;&gt;"",INDEX(keycodes!$E:$E,MATCH(B3,keycodes!$A:$A,0),0),INDEX(keycodes!$C:$C,MATCH(B3,keycodes!$A:$A,0),0)),INDEX(keycodes!$C:$C,MATCH(B3,keycodes!$B:$B,0),0)))</f>
        <v>KC_ESC</v>
      </c>
      <c r="C35" s="38" t="str">
        <f aca="false">IF(C3="",keycodes!$C$2,IF($B$1="Japanese",IF(INDEX(keycodes!$E:$E,MATCH(C3,keycodes!$A:$A,0),0)&lt;&gt;"",INDEX(keycodes!$E:$E,MATCH(C3,keycodes!$A:$A,0),0),INDEX(keycodes!$C:$C,MATCH(C3,keycodes!$A:$A,0),0)),INDEX(keycodes!$C:$C,MATCH(C3,keycodes!$B:$B,0),0)))</f>
        <v>KC_1</v>
      </c>
      <c r="D35" s="38" t="str">
        <f aca="false">IF(D3="",keycodes!$C$2,IF($B$1="Japanese",IF(INDEX(keycodes!$E:$E,MATCH(D3,keycodes!$A:$A,0),0)&lt;&gt;"",INDEX(keycodes!$E:$E,MATCH(D3,keycodes!$A:$A,0),0),INDEX(keycodes!$C:$C,MATCH(D3,keycodes!$A:$A,0),0)),INDEX(keycodes!$C:$C,MATCH(D3,keycodes!$B:$B,0),0)))</f>
        <v>KC_2</v>
      </c>
      <c r="E35" s="38" t="str">
        <f aca="false">IF(E3="",keycodes!$C$2,IF($B$1="Japanese",IF(INDEX(keycodes!$E:$E,MATCH(E3,keycodes!$A:$A,0),0)&lt;&gt;"",INDEX(keycodes!$E:$E,MATCH(E3,keycodes!$A:$A,0),0),INDEX(keycodes!$C:$C,MATCH(E3,keycodes!$A:$A,0),0)),INDEX(keycodes!$C:$C,MATCH(E3,keycodes!$B:$B,0),0)))</f>
        <v>KC_3</v>
      </c>
      <c r="F35" s="38" t="str">
        <f aca="false">IF(F3="",keycodes!$C$2,IF($B$1="Japanese",IF(INDEX(keycodes!$E:$E,MATCH(F3,keycodes!$A:$A,0),0)&lt;&gt;"",INDEX(keycodes!$E:$E,MATCH(F3,keycodes!$A:$A,0),0),INDEX(keycodes!$C:$C,MATCH(F3,keycodes!$A:$A,0),0)),INDEX(keycodes!$C:$C,MATCH(F3,keycodes!$B:$B,0),0)))</f>
        <v>KC_4</v>
      </c>
      <c r="G35" s="38" t="str">
        <f aca="false">IF(G3="",keycodes!$C$2,IF($B$1="Japanese",IF(INDEX(keycodes!$E:$E,MATCH(G3,keycodes!$A:$A,0),0)&lt;&gt;"",INDEX(keycodes!$E:$E,MATCH(G3,keycodes!$A:$A,0),0),INDEX(keycodes!$C:$C,MATCH(G3,keycodes!$A:$A,0),0)),INDEX(keycodes!$C:$C,MATCH(G3,keycodes!$B:$B,0),0)))</f>
        <v>KC_5</v>
      </c>
      <c r="H35" s="39" t="str">
        <f aca="false">IF(H3="",keycodes!$C$2,IF($B$1="Japanese",IF(INDEX(keycodes!$E:$E,MATCH(H3,keycodes!$A:$A,0),0)&lt;&gt;"",INDEX(keycodes!$E:$E,MATCH(H3,keycodes!$A:$A,0),0),INDEX(keycodes!$C:$C,MATCH(H3,keycodes!$A:$A,0),0)),INDEX(keycodes!$C:$C,MATCH(H3,keycodes!$B:$B,0),0)))</f>
        <v>NONE</v>
      </c>
      <c r="I35" s="39" t="str">
        <f aca="false">IF(I3="",keycodes!$C$2,IF($B$1="Japanese",IF(INDEX(keycodes!$E:$E,MATCH(I3,keycodes!$A:$A,0),0)&lt;&gt;"",INDEX(keycodes!$E:$E,MATCH(I3,keycodes!$A:$A,0),0),INDEX(keycodes!$C:$C,MATCH(I3,keycodes!$A:$A,0),0)),INDEX(keycodes!$C:$C,MATCH(I3,keycodes!$B:$B,0),0)))</f>
        <v>NONE</v>
      </c>
      <c r="J35" s="38" t="str">
        <f aca="false">IF(J3="",keycodes!$C$2,IF($B$1="Japanese",IF(INDEX(keycodes!$E:$E,MATCH(J3,keycodes!$A:$A,0),0)&lt;&gt;"",INDEX(keycodes!$E:$E,MATCH(J3,keycodes!$A:$A,0),0),INDEX(keycodes!$C:$C,MATCH(J3,keycodes!$A:$A,0),0)),INDEX(keycodes!$C:$C,MATCH(J3,keycodes!$B:$B,0),0)))</f>
        <v>KC_6</v>
      </c>
      <c r="K35" s="38" t="str">
        <f aca="false">IF(K3="",keycodes!$C$2,IF($B$1="Japanese",IF(INDEX(keycodes!$E:$E,MATCH(K3,keycodes!$A:$A,0),0)&lt;&gt;"",INDEX(keycodes!$E:$E,MATCH(K3,keycodes!$A:$A,0),0),INDEX(keycodes!$C:$C,MATCH(K3,keycodes!$A:$A,0),0)),INDEX(keycodes!$C:$C,MATCH(K3,keycodes!$B:$B,0),0)))</f>
        <v>KC_7</v>
      </c>
      <c r="L35" s="38" t="str">
        <f aca="false">IF(L3="",keycodes!$C$2,IF($B$1="Japanese",IF(INDEX(keycodes!$E:$E,MATCH(L3,keycodes!$A:$A,0),0)&lt;&gt;"",INDEX(keycodes!$E:$E,MATCH(L3,keycodes!$A:$A,0),0),INDEX(keycodes!$C:$C,MATCH(L3,keycodes!$A:$A,0),0)),INDEX(keycodes!$C:$C,MATCH(L3,keycodes!$B:$B,0),0)))</f>
        <v>KC_8</v>
      </c>
      <c r="M35" s="38" t="str">
        <f aca="false">IF(M3="",keycodes!$C$2,IF($B$1="Japanese",IF(INDEX(keycodes!$E:$E,MATCH(M3,keycodes!$A:$A,0),0)&lt;&gt;"",INDEX(keycodes!$E:$E,MATCH(M3,keycodes!$A:$A,0),0),INDEX(keycodes!$C:$C,MATCH(M3,keycodes!$A:$A,0),0)),INDEX(keycodes!$C:$C,MATCH(M3,keycodes!$B:$B,0),0)))</f>
        <v>KC_9</v>
      </c>
      <c r="N35" s="38" t="str">
        <f aca="false">IF(N3="",keycodes!$C$2,IF($B$1="Japanese",IF(INDEX(keycodes!$E:$E,MATCH(N3,keycodes!$A:$A,0),0)&lt;&gt;"",INDEX(keycodes!$E:$E,MATCH(N3,keycodes!$A:$A,0),0),INDEX(keycodes!$C:$C,MATCH(N3,keycodes!$A:$A,0),0)),INDEX(keycodes!$C:$C,MATCH(N3,keycodes!$B:$B,0),0)))</f>
        <v>KC_0</v>
      </c>
      <c r="O35" s="40" t="str">
        <f aca="false">IF(O3="",keycodes!$C$2,IF($B$1="Japanese",IF(INDEX(keycodes!$E:$E,MATCH(O3,keycodes!$A:$A,0),0)&lt;&gt;"",INDEX(keycodes!$E:$E,MATCH(O3,keycodes!$A:$A,0),0),INDEX(keycodes!$C:$C,MATCH(O3,keycodes!$A:$A,0),0)),INDEX(keycodes!$C:$C,MATCH(O3,keycodes!$B:$B,0),0)))</f>
        <v>KC_MINS</v>
      </c>
    </row>
    <row r="36" customFormat="false" ht="21" hidden="false" customHeight="true" outlineLevel="0" collapsed="false">
      <c r="A36" s="30"/>
      <c r="B36" s="41" t="str">
        <f aca="false">IF(B4="",keycodes!$C$2,IF($B$1="Japanese",IF(INDEX(keycodes!$E:$E,MATCH(B4,keycodes!$A:$A,0),0)&lt;&gt;"",INDEX(keycodes!$E:$E,MATCH(B4,keycodes!$A:$A,0),0),INDEX(keycodes!$C:$C,MATCH(B4,keycodes!$A:$A,0),0)),INDEX(keycodes!$C:$C,MATCH(B4,keycodes!$B:$B,0),0)))</f>
        <v>KC_LALT</v>
      </c>
      <c r="C36" s="41" t="str">
        <f aca="false">IF(C4="",keycodes!$C$2,IF($B$1="Japanese",IF(INDEX(keycodes!$E:$E,MATCH(C4,keycodes!$A:$A,0),0)&lt;&gt;"",INDEX(keycodes!$E:$E,MATCH(C4,keycodes!$A:$A,0),0),INDEX(keycodes!$C:$C,MATCH(C4,keycodes!$A:$A,0),0)),INDEX(keycodes!$C:$C,MATCH(C4,keycodes!$B:$B,0),0)))</f>
        <v>KC_Q</v>
      </c>
      <c r="D36" s="41" t="str">
        <f aca="false">IF(D4="",keycodes!$C$2,IF($B$1="Japanese",IF(INDEX(keycodes!$E:$E,MATCH(D4,keycodes!$A:$A,0),0)&lt;&gt;"",INDEX(keycodes!$E:$E,MATCH(D4,keycodes!$A:$A,0),0),INDEX(keycodes!$C:$C,MATCH(D4,keycodes!$A:$A,0),0)),INDEX(keycodes!$C:$C,MATCH(D4,keycodes!$B:$B,0),0)))</f>
        <v>KC_W</v>
      </c>
      <c r="E36" s="41" t="str">
        <f aca="false">IF(E4="",keycodes!$C$2,IF($B$1="Japanese",IF(INDEX(keycodes!$E:$E,MATCH(E4,keycodes!$A:$A,0),0)&lt;&gt;"",INDEX(keycodes!$E:$E,MATCH(E4,keycodes!$A:$A,0),0),INDEX(keycodes!$C:$C,MATCH(E4,keycodes!$A:$A,0),0)),INDEX(keycodes!$C:$C,MATCH(E4,keycodes!$B:$B,0),0)))</f>
        <v>KC_E</v>
      </c>
      <c r="F36" s="41" t="str">
        <f aca="false">IF(F4="",keycodes!$C$2,IF($B$1="Japanese",IF(INDEX(keycodes!$E:$E,MATCH(F4,keycodes!$A:$A,0),0)&lt;&gt;"",INDEX(keycodes!$E:$E,MATCH(F4,keycodes!$A:$A,0),0),INDEX(keycodes!$C:$C,MATCH(F4,keycodes!$A:$A,0),0)),INDEX(keycodes!$C:$C,MATCH(F4,keycodes!$B:$B,0),0)))</f>
        <v>KC_R</v>
      </c>
      <c r="G36" s="41" t="str">
        <f aca="false">IF(G4="",keycodes!$C$2,IF($B$1="Japanese",IF(INDEX(keycodes!$E:$E,MATCH(G4,keycodes!$A:$A,0),0)&lt;&gt;"",INDEX(keycodes!$E:$E,MATCH(G4,keycodes!$A:$A,0),0),INDEX(keycodes!$C:$C,MATCH(G4,keycodes!$A:$A,0),0)),INDEX(keycodes!$C:$C,MATCH(G4,keycodes!$B:$B,0),0)))</f>
        <v>KC_T</v>
      </c>
      <c r="H36" s="42" t="str">
        <f aca="false">IF(H4="",keycodes!$C$2,IF($B$1="Japanese",IF(INDEX(keycodes!$E:$E,MATCH(H4,keycodes!$A:$A,0),0)&lt;&gt;"",INDEX(keycodes!$E:$E,MATCH(H4,keycodes!$A:$A,0),0),INDEX(keycodes!$C:$C,MATCH(H4,keycodes!$A:$A,0),0)),INDEX(keycodes!$C:$C,MATCH(H4,keycodes!$B:$B,0),0)))</f>
        <v>NONE</v>
      </c>
      <c r="I36" s="42" t="str">
        <f aca="false">IF(I4="",keycodes!$C$2,IF($B$1="Japanese",IF(INDEX(keycodes!$E:$E,MATCH(I4,keycodes!$A:$A,0),0)&lt;&gt;"",INDEX(keycodes!$E:$E,MATCH(I4,keycodes!$A:$A,0),0),INDEX(keycodes!$C:$C,MATCH(I4,keycodes!$A:$A,0),0)),INDEX(keycodes!$C:$C,MATCH(I4,keycodes!$B:$B,0),0)))</f>
        <v>NONE</v>
      </c>
      <c r="J36" s="41" t="str">
        <f aca="false">IF(J4="",keycodes!$C$2,IF($B$1="Japanese",IF(INDEX(keycodes!$E:$E,MATCH(J4,keycodes!$A:$A,0),0)&lt;&gt;"",INDEX(keycodes!$E:$E,MATCH(J4,keycodes!$A:$A,0),0),INDEX(keycodes!$C:$C,MATCH(J4,keycodes!$A:$A,0),0)),INDEX(keycodes!$C:$C,MATCH(J4,keycodes!$B:$B,0),0)))</f>
        <v>KC_Y</v>
      </c>
      <c r="K36" s="41" t="str">
        <f aca="false">IF(K4="",keycodes!$C$2,IF($B$1="Japanese",IF(INDEX(keycodes!$E:$E,MATCH(K4,keycodes!$A:$A,0),0)&lt;&gt;"",INDEX(keycodes!$E:$E,MATCH(K4,keycodes!$A:$A,0),0),INDEX(keycodes!$C:$C,MATCH(K4,keycodes!$A:$A,0),0)),INDEX(keycodes!$C:$C,MATCH(K4,keycodes!$B:$B,0),0)))</f>
        <v>KC_U</v>
      </c>
      <c r="L36" s="41" t="str">
        <f aca="false">IF(L4="",keycodes!$C$2,IF($B$1="Japanese",IF(INDEX(keycodes!$E:$E,MATCH(L4,keycodes!$A:$A,0),0)&lt;&gt;"",INDEX(keycodes!$E:$E,MATCH(L4,keycodes!$A:$A,0),0),INDEX(keycodes!$C:$C,MATCH(L4,keycodes!$A:$A,0),0)),INDEX(keycodes!$C:$C,MATCH(L4,keycodes!$B:$B,0),0)))</f>
        <v>KC_I</v>
      </c>
      <c r="M36" s="41" t="str">
        <f aca="false">IF(M4="",keycodes!$C$2,IF($B$1="Japanese",IF(INDEX(keycodes!$E:$E,MATCH(M4,keycodes!$A:$A,0),0)&lt;&gt;"",INDEX(keycodes!$E:$E,MATCH(M4,keycodes!$A:$A,0),0),INDEX(keycodes!$C:$C,MATCH(M4,keycodes!$A:$A,0),0)),INDEX(keycodes!$C:$C,MATCH(M4,keycodes!$B:$B,0),0)))</f>
        <v>KC_O</v>
      </c>
      <c r="N36" s="41" t="str">
        <f aca="false">IF(N4="",keycodes!$C$2,IF($B$1="Japanese",IF(INDEX(keycodes!$E:$E,MATCH(N4,keycodes!$A:$A,0),0)&lt;&gt;"",INDEX(keycodes!$E:$E,MATCH(N4,keycodes!$A:$A,0),0),INDEX(keycodes!$C:$C,MATCH(N4,keycodes!$A:$A,0),0)),INDEX(keycodes!$C:$C,MATCH(N4,keycodes!$B:$B,0),0)))</f>
        <v>KC_P</v>
      </c>
      <c r="O36" s="43" t="str">
        <f aca="false">IF(O4="",keycodes!$C$2,IF($B$1="Japanese",IF(INDEX(keycodes!$E:$E,MATCH(O4,keycodes!$A:$A,0),0)&lt;&gt;"",INDEX(keycodes!$E:$E,MATCH(O4,keycodes!$A:$A,0),0),INDEX(keycodes!$C:$C,MATCH(O4,keycodes!$A:$A,0),0)),INDEX(keycodes!$C:$C,MATCH(O4,keycodes!$B:$B,0),0)))</f>
        <v>KC_LBRC</v>
      </c>
    </row>
    <row r="37" customFormat="false" ht="21" hidden="false" customHeight="true" outlineLevel="0" collapsed="false">
      <c r="A37" s="30"/>
      <c r="B37" s="41" t="str">
        <f aca="false">IF(B5="",keycodes!$C$2,IF($B$1="Japanese",IF(INDEX(keycodes!$E:$E,MATCH(B5,keycodes!$A:$A,0),0)&lt;&gt;"",INDEX(keycodes!$E:$E,MATCH(B5,keycodes!$A:$A,0),0),INDEX(keycodes!$C:$C,MATCH(B5,keycodes!$A:$A,0),0)),INDEX(keycodes!$C:$C,MATCH(B5,keycodes!$B:$B,0),0)))</f>
        <v>KC_TAB</v>
      </c>
      <c r="C37" s="41" t="str">
        <f aca="false">IF(C5="",keycodes!$C$2,IF($B$1="Japanese",IF(INDEX(keycodes!$E:$E,MATCH(C5,keycodes!$A:$A,0),0)&lt;&gt;"",INDEX(keycodes!$E:$E,MATCH(C5,keycodes!$A:$A,0),0),INDEX(keycodes!$C:$C,MATCH(C5,keycodes!$A:$A,0),0)),INDEX(keycodes!$C:$C,MATCH(C5,keycodes!$B:$B,0),0)))</f>
        <v>KC_A</v>
      </c>
      <c r="D37" s="41" t="str">
        <f aca="false">IF(D5="",keycodes!$C$2,IF($B$1="Japanese",IF(INDEX(keycodes!$E:$E,MATCH(D5,keycodes!$A:$A,0),0)&lt;&gt;"",INDEX(keycodes!$E:$E,MATCH(D5,keycodes!$A:$A,0),0),INDEX(keycodes!$C:$C,MATCH(D5,keycodes!$A:$A,0),0)),INDEX(keycodes!$C:$C,MATCH(D5,keycodes!$B:$B,0),0)))</f>
        <v>KC_S</v>
      </c>
      <c r="E37" s="41" t="str">
        <f aca="false">IF(E5="",keycodes!$C$2,IF($B$1="Japanese",IF(INDEX(keycodes!$E:$E,MATCH(E5,keycodes!$A:$A,0),0)&lt;&gt;"",INDEX(keycodes!$E:$E,MATCH(E5,keycodes!$A:$A,0),0),INDEX(keycodes!$C:$C,MATCH(E5,keycodes!$A:$A,0),0)),INDEX(keycodes!$C:$C,MATCH(E5,keycodes!$B:$B,0),0)))</f>
        <v>KC_D</v>
      </c>
      <c r="F37" s="41" t="str">
        <f aca="false">IF(F5="",keycodes!$C$2,IF($B$1="Japanese",IF(INDEX(keycodes!$E:$E,MATCH(F5,keycodes!$A:$A,0),0)&lt;&gt;"",INDEX(keycodes!$E:$E,MATCH(F5,keycodes!$A:$A,0),0),INDEX(keycodes!$C:$C,MATCH(F5,keycodes!$A:$A,0),0)),INDEX(keycodes!$C:$C,MATCH(F5,keycodes!$B:$B,0),0)))</f>
        <v>KC_F</v>
      </c>
      <c r="G37" s="41" t="str">
        <f aca="false">IF(G5="",keycodes!$C$2,IF($B$1="Japanese",IF(INDEX(keycodes!$E:$E,MATCH(G5,keycodes!$A:$A,0),0)&lt;&gt;"",INDEX(keycodes!$E:$E,MATCH(G5,keycodes!$A:$A,0),0),INDEX(keycodes!$C:$C,MATCH(G5,keycodes!$A:$A,0),0)),INDEX(keycodes!$C:$C,MATCH(G5,keycodes!$B:$B,0),0)))</f>
        <v>KC_G</v>
      </c>
      <c r="H37" s="42" t="str">
        <f aca="false">IF(H5="",keycodes!$C$2,IF($B$1="Japanese",IF(INDEX(keycodes!$E:$E,MATCH(H5,keycodes!$A:$A,0),0)&lt;&gt;"",INDEX(keycodes!$E:$E,MATCH(H5,keycodes!$A:$A,0),0),INDEX(keycodes!$C:$C,MATCH(H5,keycodes!$A:$A,0),0)),INDEX(keycodes!$C:$C,MATCH(H5,keycodes!$B:$B,0),0)))</f>
        <v>NONE</v>
      </c>
      <c r="I37" s="42" t="str">
        <f aca="false">IF(I5="",keycodes!$C$2,IF($B$1="Japanese",IF(INDEX(keycodes!$E:$E,MATCH(I5,keycodes!$A:$A,0),0)&lt;&gt;"",INDEX(keycodes!$E:$E,MATCH(I5,keycodes!$A:$A,0),0),INDEX(keycodes!$C:$C,MATCH(I5,keycodes!$A:$A,0),0)),INDEX(keycodes!$C:$C,MATCH(I5,keycodes!$B:$B,0),0)))</f>
        <v>NONE</v>
      </c>
      <c r="J37" s="41" t="str">
        <f aca="false">IF(J5="",keycodes!$C$2,IF($B$1="Japanese",IF(INDEX(keycodes!$E:$E,MATCH(J5,keycodes!$A:$A,0),0)&lt;&gt;"",INDEX(keycodes!$E:$E,MATCH(J5,keycodes!$A:$A,0),0),INDEX(keycodes!$C:$C,MATCH(J5,keycodes!$A:$A,0),0)),INDEX(keycodes!$C:$C,MATCH(J5,keycodes!$B:$B,0),0)))</f>
        <v>KC_H</v>
      </c>
      <c r="K37" s="41" t="str">
        <f aca="false">IF(K5="",keycodes!$C$2,IF($B$1="Japanese",IF(INDEX(keycodes!$E:$E,MATCH(K5,keycodes!$A:$A,0),0)&lt;&gt;"",INDEX(keycodes!$E:$E,MATCH(K5,keycodes!$A:$A,0),0),INDEX(keycodes!$C:$C,MATCH(K5,keycodes!$A:$A,0),0)),INDEX(keycodes!$C:$C,MATCH(K5,keycodes!$B:$B,0),0)))</f>
        <v>KC_J</v>
      </c>
      <c r="L37" s="41" t="str">
        <f aca="false">IF(L5="",keycodes!$C$2,IF($B$1="Japanese",IF(INDEX(keycodes!$E:$E,MATCH(L5,keycodes!$A:$A,0),0)&lt;&gt;"",INDEX(keycodes!$E:$E,MATCH(L5,keycodes!$A:$A,0),0),INDEX(keycodes!$C:$C,MATCH(L5,keycodes!$A:$A,0),0)),INDEX(keycodes!$C:$C,MATCH(L5,keycodes!$B:$B,0),0)))</f>
        <v>KC_K</v>
      </c>
      <c r="M37" s="41" t="str">
        <f aca="false">IF(M5="",keycodes!$C$2,IF($B$1="Japanese",IF(INDEX(keycodes!$E:$E,MATCH(M5,keycodes!$A:$A,0),0)&lt;&gt;"",INDEX(keycodes!$E:$E,MATCH(M5,keycodes!$A:$A,0),0),INDEX(keycodes!$C:$C,MATCH(M5,keycodes!$A:$A,0),0)),INDEX(keycodes!$C:$C,MATCH(M5,keycodes!$B:$B,0),0)))</f>
        <v>KC_L</v>
      </c>
      <c r="N37" s="41" t="str">
        <f aca="false">IF(N5="",keycodes!$C$2,IF($B$1="Japanese",IF(INDEX(keycodes!$E:$E,MATCH(N5,keycodes!$A:$A,0),0)&lt;&gt;"",INDEX(keycodes!$E:$E,MATCH(N5,keycodes!$A:$A,0),0),INDEX(keycodes!$C:$C,MATCH(N5,keycodes!$A:$A,0),0)),INDEX(keycodes!$C:$C,MATCH(N5,keycodes!$B:$B,0),0)))</f>
        <v>KC_SCLN</v>
      </c>
      <c r="O37" s="43" t="str">
        <f aca="false">IF(O5="",keycodes!$C$2,IF($B$1="Japanese",IF(INDEX(keycodes!$E:$E,MATCH(O5,keycodes!$A:$A,0),0)&lt;&gt;"",INDEX(keycodes!$E:$E,MATCH(O5,keycodes!$A:$A,0),0),INDEX(keycodes!$C:$C,MATCH(O5,keycodes!$A:$A,0),0)),INDEX(keycodes!$C:$C,MATCH(O5,keycodes!$B:$B,0),0)))</f>
        <v>KC_QUOT</v>
      </c>
    </row>
    <row r="38" customFormat="false" ht="21" hidden="false" customHeight="true" outlineLevel="0" collapsed="false">
      <c r="A38" s="30"/>
      <c r="B38" s="41" t="str">
        <f aca="false">IF(B6="",keycodes!$C$2,IF($B$1="Japanese",IF(INDEX(keycodes!$E:$E,MATCH(B6,keycodes!$A:$A,0),0)&lt;&gt;"",INDEX(keycodes!$E:$E,MATCH(B6,keycodes!$A:$A,0),0),INDEX(keycodes!$C:$C,MATCH(B6,keycodes!$A:$A,0),0)),INDEX(keycodes!$C:$C,MATCH(B6,keycodes!$B:$B,0),0)))</f>
        <v>KC_LCTL</v>
      </c>
      <c r="C38" s="41" t="str">
        <f aca="false">IF(C6="",keycodes!$C$2,IF($B$1="Japanese",IF(INDEX(keycodes!$E:$E,MATCH(C6,keycodes!$A:$A,0),0)&lt;&gt;"",INDEX(keycodes!$E:$E,MATCH(C6,keycodes!$A:$A,0),0),INDEX(keycodes!$C:$C,MATCH(C6,keycodes!$A:$A,0),0)),INDEX(keycodes!$C:$C,MATCH(C6,keycodes!$B:$B,0),0)))</f>
        <v>KC_Z</v>
      </c>
      <c r="D38" s="41" t="str">
        <f aca="false">IF(D6="",keycodes!$C$2,IF($B$1="Japanese",IF(INDEX(keycodes!$E:$E,MATCH(D6,keycodes!$A:$A,0),0)&lt;&gt;"",INDEX(keycodes!$E:$E,MATCH(D6,keycodes!$A:$A,0),0),INDEX(keycodes!$C:$C,MATCH(D6,keycodes!$A:$A,0),0)),INDEX(keycodes!$C:$C,MATCH(D6,keycodes!$B:$B,0),0)))</f>
        <v>KC_X</v>
      </c>
      <c r="E38" s="41" t="str">
        <f aca="false">IF(E6="",keycodes!$C$2,IF($B$1="Japanese",IF(INDEX(keycodes!$E:$E,MATCH(E6,keycodes!$A:$A,0),0)&lt;&gt;"",INDEX(keycodes!$E:$E,MATCH(E6,keycodes!$A:$A,0),0),INDEX(keycodes!$C:$C,MATCH(E6,keycodes!$A:$A,0),0)),INDEX(keycodes!$C:$C,MATCH(E6,keycodes!$B:$B,0),0)))</f>
        <v>KC_C</v>
      </c>
      <c r="F38" s="41" t="str">
        <f aca="false">IF(F6="",keycodes!$C$2,IF($B$1="Japanese",IF(INDEX(keycodes!$E:$E,MATCH(F6,keycodes!$A:$A,0),0)&lt;&gt;"",INDEX(keycodes!$E:$E,MATCH(F6,keycodes!$A:$A,0),0),INDEX(keycodes!$C:$C,MATCH(F6,keycodes!$A:$A,0),0)),INDEX(keycodes!$C:$C,MATCH(F6,keycodes!$B:$B,0),0)))</f>
        <v>KC_V</v>
      </c>
      <c r="G38" s="41" t="str">
        <f aca="false">IF(G6="",keycodes!$C$2,IF($B$1="Japanese",IF(INDEX(keycodes!$E:$E,MATCH(G6,keycodes!$A:$A,0),0)&lt;&gt;"",INDEX(keycodes!$E:$E,MATCH(G6,keycodes!$A:$A,0),0),INDEX(keycodes!$C:$C,MATCH(G6,keycodes!$A:$A,0),0)),INDEX(keycodes!$C:$C,MATCH(G6,keycodes!$B:$B,0),0)))</f>
        <v>KC_B</v>
      </c>
      <c r="H38" s="41" t="str">
        <f aca="false">IF(H6="",keycodes!$C$2,IF($B$1="Japanese",IF(INDEX(keycodes!$E:$E,MATCH(H6,keycodes!$A:$A,0),0)&lt;&gt;"",INDEX(keycodes!$E:$E,MATCH(H6,keycodes!$A:$A,0),0),INDEX(keycodes!$C:$C,MATCH(H6,keycodes!$A:$A,0),0)),INDEX(keycodes!$C:$C,MATCH(H6,keycodes!$B:$B,0),0)))</f>
        <v>KC_BSPC</v>
      </c>
      <c r="I38" s="41" t="str">
        <f aca="false">IF(I6="",keycodes!$C$2,IF($B$1="Japanese",IF(INDEX(keycodes!$E:$E,MATCH(I6,keycodes!$A:$A,0),0)&lt;&gt;"",INDEX(keycodes!$E:$E,MATCH(I6,keycodes!$A:$A,0),0),INDEX(keycodes!$C:$C,MATCH(I6,keycodes!$A:$A,0),0)),INDEX(keycodes!$C:$C,MATCH(I6,keycodes!$B:$B,0),0)))</f>
        <v>KC_DEL</v>
      </c>
      <c r="J38" s="41" t="str">
        <f aca="false">IF(J6="",keycodes!$C$2,IF($B$1="Japanese",IF(INDEX(keycodes!$E:$E,MATCH(J6,keycodes!$A:$A,0),0)&lt;&gt;"",INDEX(keycodes!$E:$E,MATCH(J6,keycodes!$A:$A,0),0),INDEX(keycodes!$C:$C,MATCH(J6,keycodes!$A:$A,0),0)),INDEX(keycodes!$C:$C,MATCH(J6,keycodes!$B:$B,0),0)))</f>
        <v>KC_N</v>
      </c>
      <c r="K38" s="41" t="str">
        <f aca="false">IF(K6="",keycodes!$C$2,IF($B$1="Japanese",IF(INDEX(keycodes!$E:$E,MATCH(K6,keycodes!$A:$A,0),0)&lt;&gt;"",INDEX(keycodes!$E:$E,MATCH(K6,keycodes!$A:$A,0),0),INDEX(keycodes!$C:$C,MATCH(K6,keycodes!$A:$A,0),0)),INDEX(keycodes!$C:$C,MATCH(K6,keycodes!$B:$B,0),0)))</f>
        <v>KC_M</v>
      </c>
      <c r="L38" s="41" t="str">
        <f aca="false">IF(L6="",keycodes!$C$2,IF($B$1="Japanese",IF(INDEX(keycodes!$E:$E,MATCH(L6,keycodes!$A:$A,0),0)&lt;&gt;"",INDEX(keycodes!$E:$E,MATCH(L6,keycodes!$A:$A,0),0),INDEX(keycodes!$C:$C,MATCH(L6,keycodes!$A:$A,0),0)),INDEX(keycodes!$C:$C,MATCH(L6,keycodes!$B:$B,0),0)))</f>
        <v>KC_COMM</v>
      </c>
      <c r="M38" s="41" t="str">
        <f aca="false">IF(M6="",keycodes!$C$2,IF($B$1="Japanese",IF(INDEX(keycodes!$E:$E,MATCH(M6,keycodes!$A:$A,0),0)&lt;&gt;"",INDEX(keycodes!$E:$E,MATCH(M6,keycodes!$A:$A,0),0),INDEX(keycodes!$C:$C,MATCH(M6,keycodes!$A:$A,0),0)),INDEX(keycodes!$C:$C,MATCH(M6,keycodes!$B:$B,0),0)))</f>
        <v>KC_DOT</v>
      </c>
      <c r="N38" s="41" t="str">
        <f aca="false">IF(N6="",keycodes!$C$2,IF($B$1="Japanese",IF(INDEX(keycodes!$E:$E,MATCH(N6,keycodes!$A:$A,0),0)&lt;&gt;"",INDEX(keycodes!$E:$E,MATCH(N6,keycodes!$A:$A,0),0),INDEX(keycodes!$C:$C,MATCH(N6,keycodes!$A:$A,0),0)),INDEX(keycodes!$C:$C,MATCH(N6,keycodes!$B:$B,0),0)))</f>
        <v>KC_SLSH</v>
      </c>
      <c r="O38" s="43" t="str">
        <f aca="false">IF(O6="",keycodes!$C$2,IF($B$1="Japanese",IF(INDEX(keycodes!$E:$E,MATCH(O6,keycodes!$A:$A,0),0)&lt;&gt;"",INDEX(keycodes!$E:$E,MATCH(O6,keycodes!$A:$A,0),0),INDEX(keycodes!$C:$C,MATCH(O6,keycodes!$A:$A,0),0)),INDEX(keycodes!$C:$C,MATCH(O6,keycodes!$B:$B,0),0)))</f>
        <v>KC_INT1</v>
      </c>
    </row>
    <row r="39" customFormat="false" ht="21" hidden="false" customHeight="true" outlineLevel="0" collapsed="false">
      <c r="A39" s="34"/>
      <c r="B39" s="44" t="str">
        <f aca="false">IF(B7="",keycodes!$C$2,IF($B$1="Japanese",IF(INDEX(keycodes!$E:$E,MATCH(B7,keycodes!$A:$A,0),0)&lt;&gt;"",INDEX(keycodes!$E:$E,MATCH(B7,keycodes!$A:$A,0),0),INDEX(keycodes!$C:$C,MATCH(B7,keycodes!$A:$A,0),0)),INDEX(keycodes!$C:$C,MATCH(B7,keycodes!$B:$B,0),0)))</f>
        <v>NONE</v>
      </c>
      <c r="C39" s="44" t="str">
        <f aca="false">IF(C7="",keycodes!$C$2,IF($B$1="Japanese",IF(INDEX(keycodes!$E:$E,MATCH(C7,keycodes!$A:$A,0),0)&lt;&gt;"",INDEX(keycodes!$E:$E,MATCH(C7,keycodes!$A:$A,0),0),INDEX(keycodes!$C:$C,MATCH(C7,keycodes!$A:$A,0),0)),INDEX(keycodes!$C:$C,MATCH(C7,keycodes!$B:$B,0),0)))</f>
        <v>NONE</v>
      </c>
      <c r="D39" s="44" t="str">
        <f aca="false">IF(D7="",keycodes!$C$2,IF($B$1="Japanese",IF(INDEX(keycodes!$E:$E,MATCH(D7,keycodes!$A:$A,0),0)&lt;&gt;"",INDEX(keycodes!$E:$E,MATCH(D7,keycodes!$A:$A,0),0),INDEX(keycodes!$C:$C,MATCH(D7,keycodes!$A:$A,0),0)),INDEX(keycodes!$C:$C,MATCH(D7,keycodes!$B:$B,0),0)))</f>
        <v>NONE</v>
      </c>
      <c r="E39" s="45" t="str">
        <f aca="false">IF(E7="",keycodes!$C$2,IF($B$1="Japanese",IF(INDEX(keycodes!$E:$E,MATCH(E7,keycodes!$A:$A,0),0)&lt;&gt;"",INDEX(keycodes!$E:$E,MATCH(E7,keycodes!$A:$A,0),0),INDEX(keycodes!$C:$C,MATCH(E7,keycodes!$A:$A,0),0)),INDEX(keycodes!$C:$C,MATCH(E7,keycodes!$B:$B,0),0)))</f>
        <v>KC_LGUI</v>
      </c>
      <c r="F39" s="45" t="str">
        <f aca="false">IF(F7="",keycodes!$C$2,IF($B$1="Japanese",IF(INDEX(keycodes!$E:$E,MATCH(F7,keycodes!$A:$A,0),0)&lt;&gt;"",INDEX(keycodes!$E:$E,MATCH(F7,keycodes!$A:$A,0),0),INDEX(keycodes!$C:$C,MATCH(F7,keycodes!$A:$A,0),0)),INDEX(keycodes!$C:$C,MATCH(F7,keycodes!$B:$B,0),0)))</f>
        <v>TG_R</v>
      </c>
      <c r="G39" s="45" t="str">
        <f aca="false">IF(G7="",keycodes!$C$2,IF($B$1="Japanese",IF(INDEX(keycodes!$E:$E,MATCH(G7,keycodes!$A:$A,0),0)&lt;&gt;"",INDEX(keycodes!$E:$E,MATCH(G7,keycodes!$A:$A,0),0),INDEX(keycodes!$C:$C,MATCH(G7,keycodes!$A:$A,0),0)),INDEX(keycodes!$C:$C,MATCH(G7,keycodes!$B:$B,0),0)))</f>
        <v>MO_R</v>
      </c>
      <c r="H39" s="45" t="str">
        <f aca="false">IF(H7="",keycodes!$C$2,IF($B$1="Japanese",IF(INDEX(keycodes!$E:$E,MATCH(H7,keycodes!$A:$A,0),0)&lt;&gt;"",INDEX(keycodes!$E:$E,MATCH(H7,keycodes!$A:$A,0),0),INDEX(keycodes!$C:$C,MATCH(H7,keycodes!$A:$A,0),0)),INDEX(keycodes!$C:$C,MATCH(H7,keycodes!$B:$B,0),0)))</f>
        <v>LSFT_SPC</v>
      </c>
      <c r="I39" s="45" t="str">
        <f aca="false">IF(I7="",keycodes!$C$2,IF($B$1="Japanese",IF(INDEX(keycodes!$E:$E,MATCH(I7,keycodes!$A:$A,0),0)&lt;&gt;"",INDEX(keycodes!$E:$E,MATCH(I7,keycodes!$A:$A,0),0),INDEX(keycodes!$C:$C,MATCH(I7,keycodes!$A:$A,0),0)),INDEX(keycodes!$C:$C,MATCH(I7,keycodes!$B:$B,0),0)))</f>
        <v>RSTF_ENT</v>
      </c>
      <c r="J39" s="45" t="str">
        <f aca="false">IF(J7="",keycodes!$C$2,IF($B$1="Japanese",IF(INDEX(keycodes!$E:$E,MATCH(J7,keycodes!$A:$A,0),0)&lt;&gt;"",INDEX(keycodes!$E:$E,MATCH(J7,keycodes!$A:$A,0),0),INDEX(keycodes!$C:$C,MATCH(J7,keycodes!$A:$A,0),0)),INDEX(keycodes!$C:$C,MATCH(J7,keycodes!$B:$B,0),0)))</f>
        <v>MO_L</v>
      </c>
      <c r="K39" s="45" t="str">
        <f aca="false">IF(K7="",keycodes!$C$2,IF($B$1="Japanese",IF(INDEX(keycodes!$E:$E,MATCH(K7,keycodes!$A:$A,0),0)&lt;&gt;"",INDEX(keycodes!$E:$E,MATCH(K7,keycodes!$A:$A,0),0),INDEX(keycodes!$C:$C,MATCH(K7,keycodes!$A:$A,0),0)),INDEX(keycodes!$C:$C,MATCH(K7,keycodes!$B:$B,0),0)))</f>
        <v>TG_L</v>
      </c>
      <c r="L39" s="45" t="str">
        <f aca="false">IF(L7="",keycodes!$C$2,IF($B$1="Japanese",IF(INDEX(keycodes!$E:$E,MATCH(L7,keycodes!$A:$A,0),0)&lt;&gt;"",INDEX(keycodes!$E:$E,MATCH(L7,keycodes!$A:$A,0),0),INDEX(keycodes!$C:$C,MATCH(L7,keycodes!$A:$A,0),0)),INDEX(keycodes!$C:$C,MATCH(L7,keycodes!$B:$B,0),0)))</f>
        <v>KC_APP</v>
      </c>
      <c r="M39" s="44" t="str">
        <f aca="false">IF(M7="",keycodes!$C$2,IF($B$1="Japanese",IF(INDEX(keycodes!$E:$E,MATCH(M7,keycodes!$A:$A,0),0)&lt;&gt;"",INDEX(keycodes!$E:$E,MATCH(M7,keycodes!$A:$A,0),0),INDEX(keycodes!$C:$C,MATCH(M7,keycodes!$A:$A,0),0)),INDEX(keycodes!$C:$C,MATCH(M7,keycodes!$B:$B,0),0)))</f>
        <v>TERM</v>
      </c>
      <c r="N39" s="44" t="str">
        <f aca="false">IF(N7="",keycodes!$C$2,IF($B$1="Japanese",IF(INDEX(keycodes!$E:$E,MATCH(N7,keycodes!$A:$A,0),0)&lt;&gt;"",INDEX(keycodes!$E:$E,MATCH(N7,keycodes!$A:$A,0),0),INDEX(keycodes!$C:$C,MATCH(N7,keycodes!$A:$A,0),0)),INDEX(keycodes!$C:$C,MATCH(N7,keycodes!$B:$B,0),0)))</f>
        <v>TERM</v>
      </c>
      <c r="O39" s="46" t="str">
        <f aca="false">IF(O7="",keycodes!$C$2,IF($B$1="Japanese",IF(INDEX(keycodes!$E:$E,MATCH(O7,keycodes!$A:$A,0),0)&lt;&gt;"",INDEX(keycodes!$E:$E,MATCH(O7,keycodes!$A:$A,0),0),INDEX(keycodes!$C:$C,MATCH(O7,keycodes!$A:$A,0),0)),INDEX(keycodes!$C:$C,MATCH(O7,keycodes!$B:$B,0),0)))</f>
        <v>TERM</v>
      </c>
    </row>
    <row r="40" customFormat="false" ht="21" hidden="false" customHeight="true" outlineLevel="0" collapsed="false">
      <c r="A40" s="26" t="s">
        <v>317</v>
      </c>
      <c r="B40" s="38" t="str">
        <f aca="false">IF(B8="",keycodes!$C$2,IF($B$1="Japanese",IF(INDEX(keycodes!$E:$E,MATCH(B8,keycodes!$A:$A,0),0)&lt;&gt;"",INDEX(keycodes!$E:$E,MATCH(B8,keycodes!$A:$A,0),0),INDEX(keycodes!$C:$C,MATCH(B8,keycodes!$A:$A,0),0)),INDEX(keycodes!$C:$C,MATCH(B8,keycodes!$B:$B,0),0)))</f>
        <v>_______</v>
      </c>
      <c r="C40" s="38" t="str">
        <f aca="false">IF(C8="",keycodes!$C$2,IF($B$1="Japanese",IF(INDEX(keycodes!$E:$E,MATCH(C8,keycodes!$A:$A,0),0)&lt;&gt;"",INDEX(keycodes!$E:$E,MATCH(C8,keycodes!$A:$A,0),0),INDEX(keycodes!$C:$C,MATCH(C8,keycodes!$A:$A,0),0)),INDEX(keycodes!$C:$C,MATCH(C8,keycodes!$B:$B,0),0)))</f>
        <v>_______</v>
      </c>
      <c r="D40" s="38" t="str">
        <f aca="false">IF(D8="",keycodes!$C$2,IF($B$1="Japanese",IF(INDEX(keycodes!$E:$E,MATCH(D8,keycodes!$A:$A,0),0)&lt;&gt;"",INDEX(keycodes!$E:$E,MATCH(D8,keycodes!$A:$A,0),0),INDEX(keycodes!$C:$C,MATCH(D8,keycodes!$A:$A,0),0)),INDEX(keycodes!$C:$C,MATCH(D8,keycodes!$B:$B,0),0)))</f>
        <v>_______</v>
      </c>
      <c r="E40" s="38" t="str">
        <f aca="false">IF(E8="",keycodes!$C$2,IF($B$1="Japanese",IF(INDEX(keycodes!$E:$E,MATCH(E8,keycodes!$A:$A,0),0)&lt;&gt;"",INDEX(keycodes!$E:$E,MATCH(E8,keycodes!$A:$A,0),0),INDEX(keycodes!$C:$C,MATCH(E8,keycodes!$A:$A,0),0)),INDEX(keycodes!$C:$C,MATCH(E8,keycodes!$B:$B,0),0)))</f>
        <v>_______</v>
      </c>
      <c r="F40" s="38" t="str">
        <f aca="false">IF(F8="",keycodes!$C$2,IF($B$1="Japanese",IF(INDEX(keycodes!$E:$E,MATCH(F8,keycodes!$A:$A,0),0)&lt;&gt;"",INDEX(keycodes!$E:$E,MATCH(F8,keycodes!$A:$A,0),0),INDEX(keycodes!$C:$C,MATCH(F8,keycodes!$A:$A,0),0)),INDEX(keycodes!$C:$C,MATCH(F8,keycodes!$B:$B,0),0)))</f>
        <v>_______</v>
      </c>
      <c r="G40" s="38" t="str">
        <f aca="false">IF(G8="",keycodes!$C$2,IF($B$1="Japanese",IF(INDEX(keycodes!$E:$E,MATCH(G8,keycodes!$A:$A,0),0)&lt;&gt;"",INDEX(keycodes!$E:$E,MATCH(G8,keycodes!$A:$A,0),0),INDEX(keycodes!$C:$C,MATCH(G8,keycodes!$A:$A,0),0)),INDEX(keycodes!$C:$C,MATCH(G8,keycodes!$B:$B,0),0)))</f>
        <v>_______</v>
      </c>
      <c r="H40" s="39" t="str">
        <f aca="false">IF(H8="",keycodes!$C$2,IF($B$1="Japanese",IF(INDEX(keycodes!$E:$E,MATCH(H8,keycodes!$A:$A,0),0)&lt;&gt;"",INDEX(keycodes!$E:$E,MATCH(H8,keycodes!$A:$A,0),0),INDEX(keycodes!$C:$C,MATCH(H8,keycodes!$A:$A,0),0)),INDEX(keycodes!$C:$C,MATCH(H8,keycodes!$B:$B,0),0)))</f>
        <v>NONE</v>
      </c>
      <c r="I40" s="39" t="str">
        <f aca="false">IF(I8="",keycodes!$C$2,IF($B$1="Japanese",IF(INDEX(keycodes!$E:$E,MATCH(I8,keycodes!$A:$A,0),0)&lt;&gt;"",INDEX(keycodes!$E:$E,MATCH(I8,keycodes!$A:$A,0),0),INDEX(keycodes!$C:$C,MATCH(I8,keycodes!$A:$A,0),0)),INDEX(keycodes!$C:$C,MATCH(I8,keycodes!$B:$B,0),0)))</f>
        <v>NONE</v>
      </c>
      <c r="J40" s="38" t="str">
        <f aca="false">IF(J8="",keycodes!$C$2,IF($B$1="Japanese",IF(INDEX(keycodes!$E:$E,MATCH(J8,keycodes!$A:$A,0),0)&lt;&gt;"",INDEX(keycodes!$E:$E,MATCH(J8,keycodes!$A:$A,0),0),INDEX(keycodes!$C:$C,MATCH(J8,keycodes!$A:$A,0),0)),INDEX(keycodes!$C:$C,MATCH(J8,keycodes!$B:$B,0),0)))</f>
        <v>_______</v>
      </c>
      <c r="K40" s="38" t="str">
        <f aca="false">IF(K8="",keycodes!$C$2,IF($B$1="Japanese",IF(INDEX(keycodes!$E:$E,MATCH(K8,keycodes!$A:$A,0),0)&lt;&gt;"",INDEX(keycodes!$E:$E,MATCH(K8,keycodes!$A:$A,0),0),INDEX(keycodes!$C:$C,MATCH(K8,keycodes!$A:$A,0),0)),INDEX(keycodes!$C:$C,MATCH(K8,keycodes!$B:$B,0),0)))</f>
        <v>_______</v>
      </c>
      <c r="L40" s="38" t="str">
        <f aca="false">IF(L8="",keycodes!$C$2,IF($B$1="Japanese",IF(INDEX(keycodes!$E:$E,MATCH(L8,keycodes!$A:$A,0),0)&lt;&gt;"",INDEX(keycodes!$E:$E,MATCH(L8,keycodes!$A:$A,0),0),INDEX(keycodes!$C:$C,MATCH(L8,keycodes!$A:$A,0),0)),INDEX(keycodes!$C:$C,MATCH(L8,keycodes!$B:$B,0),0)))</f>
        <v>_______</v>
      </c>
      <c r="M40" s="38" t="str">
        <f aca="false">IF(M8="",keycodes!$C$2,IF($B$1="Japanese",IF(INDEX(keycodes!$E:$E,MATCH(M8,keycodes!$A:$A,0),0)&lt;&gt;"",INDEX(keycodes!$E:$E,MATCH(M8,keycodes!$A:$A,0),0),INDEX(keycodes!$C:$C,MATCH(M8,keycodes!$A:$A,0),0)),INDEX(keycodes!$C:$C,MATCH(M8,keycodes!$B:$B,0),0)))</f>
        <v>_______</v>
      </c>
      <c r="N40" s="38" t="str">
        <f aca="false">IF(N8="",keycodes!$C$2,IF($B$1="Japanese",IF(INDEX(keycodes!$E:$E,MATCH(N8,keycodes!$A:$A,0),0)&lt;&gt;"",INDEX(keycodes!$E:$E,MATCH(N8,keycodes!$A:$A,0),0),INDEX(keycodes!$C:$C,MATCH(N8,keycodes!$A:$A,0),0)),INDEX(keycodes!$C:$C,MATCH(N8,keycodes!$B:$B,0),0)))</f>
        <v>_______</v>
      </c>
      <c r="O40" s="40" t="str">
        <f aca="false">IF(O8="",keycodes!$C$2,IF($B$1="Japanese",IF(INDEX(keycodes!$E:$E,MATCH(O8,keycodes!$A:$A,0),0)&lt;&gt;"",INDEX(keycodes!$E:$E,MATCH(O8,keycodes!$A:$A,0),0),INDEX(keycodes!$C:$C,MATCH(O8,keycodes!$A:$A,0),0)),INDEX(keycodes!$C:$C,MATCH(O8,keycodes!$B:$B,0),0)))</f>
        <v>_______</v>
      </c>
    </row>
    <row r="41" customFormat="false" ht="21" hidden="false" customHeight="true" outlineLevel="0" collapsed="false">
      <c r="A41" s="30"/>
      <c r="B41" s="41" t="str">
        <f aca="false">IF(B9="",keycodes!$C$2,IF($B$1="Japanese",IF(INDEX(keycodes!$E:$E,MATCH(B9,keycodes!$A:$A,0),0)&lt;&gt;"",INDEX(keycodes!$E:$E,MATCH(B9,keycodes!$A:$A,0),0),INDEX(keycodes!$C:$C,MATCH(B9,keycodes!$A:$A,0),0)),INDEX(keycodes!$C:$C,MATCH(B9,keycodes!$B:$B,0),0)))</f>
        <v>KC_APP</v>
      </c>
      <c r="C41" s="41" t="str">
        <f aca="false">IF(C9="",keycodes!$C$2,IF($B$1="Japanese",IF(INDEX(keycodes!$E:$E,MATCH(C9,keycodes!$A:$A,0),0)&lt;&gt;"",INDEX(keycodes!$E:$E,MATCH(C9,keycodes!$A:$A,0),0),INDEX(keycodes!$C:$C,MATCH(C9,keycodes!$A:$A,0),0)),INDEX(keycodes!$C:$C,MATCH(C9,keycodes!$B:$B,0),0)))</f>
        <v>S(KC_1)</v>
      </c>
      <c r="D41" s="41" t="str">
        <f aca="false">IF(D9="",keycodes!$C$2,IF($B$1="Japanese",IF(INDEX(keycodes!$E:$E,MATCH(D9,keycodes!$A:$A,0),0)&lt;&gt;"",INDEX(keycodes!$E:$E,MATCH(D9,keycodes!$A:$A,0),0),INDEX(keycodes!$C:$C,MATCH(D9,keycodes!$A:$A,0),0)),INDEX(keycodes!$C:$C,MATCH(D9,keycodes!$B:$B,0),0)))</f>
        <v>S(KC_2)</v>
      </c>
      <c r="E41" s="41" t="str">
        <f aca="false">IF(E9="",keycodes!$C$2,IF($B$1="Japanese",IF(INDEX(keycodes!$E:$E,MATCH(E9,keycodes!$A:$A,0),0)&lt;&gt;"",INDEX(keycodes!$E:$E,MATCH(E9,keycodes!$A:$A,0),0),INDEX(keycodes!$C:$C,MATCH(E9,keycodes!$A:$A,0),0)),INDEX(keycodes!$C:$C,MATCH(E9,keycodes!$B:$B,0),0)))</f>
        <v>S(KC_3)</v>
      </c>
      <c r="F41" s="41" t="str">
        <f aca="false">IF(F9="",keycodes!$C$2,IF($B$1="Japanese",IF(INDEX(keycodes!$E:$E,MATCH(F9,keycodes!$A:$A,0),0)&lt;&gt;"",INDEX(keycodes!$E:$E,MATCH(F9,keycodes!$A:$A,0),0),INDEX(keycodes!$C:$C,MATCH(F9,keycodes!$A:$A,0),0)),INDEX(keycodes!$C:$C,MATCH(F9,keycodes!$B:$B,0),0)))</f>
        <v>S(KC_4)</v>
      </c>
      <c r="G41" s="41" t="str">
        <f aca="false">IF(G9="",keycodes!$C$2,IF($B$1="Japanese",IF(INDEX(keycodes!$E:$E,MATCH(G9,keycodes!$A:$A,0),0)&lt;&gt;"",INDEX(keycodes!$E:$E,MATCH(G9,keycodes!$A:$A,0),0),INDEX(keycodes!$C:$C,MATCH(G9,keycodes!$A:$A,0),0)),INDEX(keycodes!$C:$C,MATCH(G9,keycodes!$B:$B,0),0)))</f>
        <v>S(KC_5)</v>
      </c>
      <c r="H41" s="42" t="str">
        <f aca="false">IF(H9="",keycodes!$C$2,IF($B$1="Japanese",IF(INDEX(keycodes!$E:$E,MATCH(H9,keycodes!$A:$A,0),0)&lt;&gt;"",INDEX(keycodes!$E:$E,MATCH(H9,keycodes!$A:$A,0),0),INDEX(keycodes!$C:$C,MATCH(H9,keycodes!$A:$A,0),0)),INDEX(keycodes!$C:$C,MATCH(H9,keycodes!$B:$B,0),0)))</f>
        <v>NONE</v>
      </c>
      <c r="I41" s="42" t="str">
        <f aca="false">IF(I9="",keycodes!$C$2,IF($B$1="Japanese",IF(INDEX(keycodes!$E:$E,MATCH(I9,keycodes!$A:$A,0),0)&lt;&gt;"",INDEX(keycodes!$E:$E,MATCH(I9,keycodes!$A:$A,0),0),INDEX(keycodes!$C:$C,MATCH(I9,keycodes!$A:$A,0),0)),INDEX(keycodes!$C:$C,MATCH(I9,keycodes!$B:$B,0),0)))</f>
        <v>NONE</v>
      </c>
      <c r="J41" s="41" t="str">
        <f aca="false">IF(J9="",keycodes!$C$2,IF($B$1="Japanese",IF(INDEX(keycodes!$E:$E,MATCH(J9,keycodes!$A:$A,0),0)&lt;&gt;"",INDEX(keycodes!$E:$E,MATCH(J9,keycodes!$A:$A,0),0),INDEX(keycodes!$C:$C,MATCH(J9,keycodes!$A:$A,0),0)),INDEX(keycodes!$C:$C,MATCH(J9,keycodes!$B:$B,0),0)))</f>
        <v>S(KC_6)</v>
      </c>
      <c r="K41" s="41" t="str">
        <f aca="false">IF(K9="",keycodes!$C$2,IF($B$1="Japanese",IF(INDEX(keycodes!$E:$E,MATCH(K9,keycodes!$A:$A,0),0)&lt;&gt;"",INDEX(keycodes!$E:$E,MATCH(K9,keycodes!$A:$A,0),0),INDEX(keycodes!$C:$C,MATCH(K9,keycodes!$A:$A,0),0)),INDEX(keycodes!$C:$C,MATCH(K9,keycodes!$B:$B,0),0)))</f>
        <v>S(KC_7)</v>
      </c>
      <c r="L41" s="41" t="str">
        <f aca="false">IF(L9="",keycodes!$C$2,IF($B$1="Japanese",IF(INDEX(keycodes!$E:$E,MATCH(L9,keycodes!$A:$A,0),0)&lt;&gt;"",INDEX(keycodes!$E:$E,MATCH(L9,keycodes!$A:$A,0),0),INDEX(keycodes!$C:$C,MATCH(L9,keycodes!$A:$A,0),0)),INDEX(keycodes!$C:$C,MATCH(L9,keycodes!$B:$B,0),0)))</f>
        <v>S(KC_8)</v>
      </c>
      <c r="M41" s="41" t="str">
        <f aca="false">IF(M9="",keycodes!$C$2,IF($B$1="Japanese",IF(INDEX(keycodes!$E:$E,MATCH(M9,keycodes!$A:$A,0),0)&lt;&gt;"",INDEX(keycodes!$E:$E,MATCH(M9,keycodes!$A:$A,0),0),INDEX(keycodes!$C:$C,MATCH(M9,keycodes!$A:$A,0),0)),INDEX(keycodes!$C:$C,MATCH(M9,keycodes!$B:$B,0),0)))</f>
        <v>S(KC_9)</v>
      </c>
      <c r="N41" s="41" t="str">
        <f aca="false">IF(N9="",keycodes!$C$2,IF($B$1="Japanese",IF(INDEX(keycodes!$E:$E,MATCH(N9,keycodes!$A:$A,0),0)&lt;&gt;"",INDEX(keycodes!$E:$E,MATCH(N9,keycodes!$A:$A,0),0),INDEX(keycodes!$C:$C,MATCH(N9,keycodes!$A:$A,0),0)),INDEX(keycodes!$C:$C,MATCH(N9,keycodes!$B:$B,0),0)))</f>
        <v>XXXXXXX</v>
      </c>
      <c r="O41" s="43" t="str">
        <f aca="false">IF(O9="",keycodes!$C$2,IF($B$1="Japanese",IF(INDEX(keycodes!$E:$E,MATCH(O9,keycodes!$A:$A,0),0)&lt;&gt;"",INDEX(keycodes!$E:$E,MATCH(O9,keycodes!$A:$A,0),0),INDEX(keycodes!$C:$C,MATCH(O9,keycodes!$A:$A,0),0)),INDEX(keycodes!$C:$C,MATCH(O9,keycodes!$B:$B,0),0)))</f>
        <v>XXXXXXX</v>
      </c>
    </row>
    <row r="42" customFormat="false" ht="21" hidden="false" customHeight="true" outlineLevel="0" collapsed="false">
      <c r="A42" s="30"/>
      <c r="B42" s="41" t="str">
        <f aca="false">IF(B10="",keycodes!$C$2,IF($B$1="Japanese",IF(INDEX(keycodes!$E:$E,MATCH(B10,keycodes!$A:$A,0),0)&lt;&gt;"",INDEX(keycodes!$E:$E,MATCH(B10,keycodes!$A:$A,0),0),INDEX(keycodes!$C:$C,MATCH(B10,keycodes!$A:$A,0),0)),INDEX(keycodes!$C:$C,MATCH(B10,keycodes!$B:$B,0),0)))</f>
        <v>KC_LGUI</v>
      </c>
      <c r="C42" s="41" t="str">
        <f aca="false">IF(C10="",keycodes!$C$2,IF($B$1="Japanese",IF(INDEX(keycodes!$E:$E,MATCH(C10,keycodes!$A:$A,0),0)&lt;&gt;"",INDEX(keycodes!$E:$E,MATCH(C10,keycodes!$A:$A,0),0),INDEX(keycodes!$C:$C,MATCH(C10,keycodes!$A:$A,0),0)),INDEX(keycodes!$C:$C,MATCH(C10,keycodes!$B:$B,0),0)))</f>
        <v>XXXXXXX</v>
      </c>
      <c r="D42" s="41" t="str">
        <f aca="false">IF(D10="",keycodes!$C$2,IF($B$1="Japanese",IF(INDEX(keycodes!$E:$E,MATCH(D10,keycodes!$A:$A,0),0)&lt;&gt;"",INDEX(keycodes!$E:$E,MATCH(D10,keycodes!$A:$A,0),0),INDEX(keycodes!$C:$C,MATCH(D10,keycodes!$A:$A,0),0)),INDEX(keycodes!$C:$C,MATCH(D10,keycodes!$B:$B,0),0)))</f>
        <v>KC_HOME</v>
      </c>
      <c r="E42" s="41" t="str">
        <f aca="false">IF(E10="",keycodes!$C$2,IF($B$1="Japanese",IF(INDEX(keycodes!$E:$E,MATCH(E10,keycodes!$A:$A,0),0)&lt;&gt;"",INDEX(keycodes!$E:$E,MATCH(E10,keycodes!$A:$A,0),0),INDEX(keycodes!$C:$C,MATCH(E10,keycodes!$A:$A,0),0)),INDEX(keycodes!$C:$C,MATCH(E10,keycodes!$B:$B,0),0)))</f>
        <v>KC_PGUP</v>
      </c>
      <c r="F42" s="41" t="str">
        <f aca="false">IF(F10="",keycodes!$C$2,IF($B$1="Japanese",IF(INDEX(keycodes!$E:$E,MATCH(F10,keycodes!$A:$A,0),0)&lt;&gt;"",INDEX(keycodes!$E:$E,MATCH(F10,keycodes!$A:$A,0),0),INDEX(keycodes!$C:$C,MATCH(F10,keycodes!$A:$A,0),0)),INDEX(keycodes!$C:$C,MATCH(F10,keycodes!$B:$B,0),0)))</f>
        <v>KC_PGDN</v>
      </c>
      <c r="G42" s="41" t="str">
        <f aca="false">IF(G10="",keycodes!$C$2,IF($B$1="Japanese",IF(INDEX(keycodes!$E:$E,MATCH(G10,keycodes!$A:$A,0),0)&lt;&gt;"",INDEX(keycodes!$E:$E,MATCH(G10,keycodes!$A:$A,0),0),INDEX(keycodes!$C:$C,MATCH(G10,keycodes!$A:$A,0),0)),INDEX(keycodes!$C:$C,MATCH(G10,keycodes!$B:$B,0),0)))</f>
        <v>KC_END</v>
      </c>
      <c r="H42" s="42" t="str">
        <f aca="false">IF(H10="",keycodes!$C$2,IF($B$1="Japanese",IF(INDEX(keycodes!$E:$E,MATCH(H10,keycodes!$A:$A,0),0)&lt;&gt;"",INDEX(keycodes!$E:$E,MATCH(H10,keycodes!$A:$A,0),0),INDEX(keycodes!$C:$C,MATCH(H10,keycodes!$A:$A,0),0)),INDEX(keycodes!$C:$C,MATCH(H10,keycodes!$B:$B,0),0)))</f>
        <v>NONE</v>
      </c>
      <c r="I42" s="42" t="str">
        <f aca="false">IF(I10="",keycodes!$C$2,IF($B$1="Japanese",IF(INDEX(keycodes!$E:$E,MATCH(I10,keycodes!$A:$A,0),0)&lt;&gt;"",INDEX(keycodes!$E:$E,MATCH(I10,keycodes!$A:$A,0),0),INDEX(keycodes!$C:$C,MATCH(I10,keycodes!$A:$A,0),0)),INDEX(keycodes!$C:$C,MATCH(I10,keycodes!$B:$B,0),0)))</f>
        <v>NONE</v>
      </c>
      <c r="J42" s="41" t="str">
        <f aca="false">IF(J10="",keycodes!$C$2,IF($B$1="Japanese",IF(INDEX(keycodes!$E:$E,MATCH(J10,keycodes!$A:$A,0),0)&lt;&gt;"",INDEX(keycodes!$E:$E,MATCH(J10,keycodes!$A:$A,0),0),INDEX(keycodes!$C:$C,MATCH(J10,keycodes!$A:$A,0),0)),INDEX(keycodes!$C:$C,MATCH(J10,keycodes!$B:$B,0),0)))</f>
        <v>KC_LEFT</v>
      </c>
      <c r="K42" s="41" t="str">
        <f aca="false">IF(K10="",keycodes!$C$2,IF($B$1="Japanese",IF(INDEX(keycodes!$E:$E,MATCH(K10,keycodes!$A:$A,0),0)&lt;&gt;"",INDEX(keycodes!$E:$E,MATCH(K10,keycodes!$A:$A,0),0),INDEX(keycodes!$C:$C,MATCH(K10,keycodes!$A:$A,0),0)),INDEX(keycodes!$C:$C,MATCH(K10,keycodes!$B:$B,0),0)))</f>
        <v>KC_DOWN</v>
      </c>
      <c r="L42" s="41" t="str">
        <f aca="false">IF(L10="",keycodes!$C$2,IF($B$1="Japanese",IF(INDEX(keycodes!$E:$E,MATCH(L10,keycodes!$A:$A,0),0)&lt;&gt;"",INDEX(keycodes!$E:$E,MATCH(L10,keycodes!$A:$A,0),0),INDEX(keycodes!$C:$C,MATCH(L10,keycodes!$A:$A,0),0)),INDEX(keycodes!$C:$C,MATCH(L10,keycodes!$B:$B,0),0)))</f>
        <v>KC_UP</v>
      </c>
      <c r="M42" s="41" t="str">
        <f aca="false">IF(M10="",keycodes!$C$2,IF($B$1="Japanese",IF(INDEX(keycodes!$E:$E,MATCH(M10,keycodes!$A:$A,0),0)&lt;&gt;"",INDEX(keycodes!$E:$E,MATCH(M10,keycodes!$A:$A,0),0),INDEX(keycodes!$C:$C,MATCH(M10,keycodes!$A:$A,0),0)),INDEX(keycodes!$C:$C,MATCH(M10,keycodes!$B:$B,0),0)))</f>
        <v>KC_RGHT</v>
      </c>
      <c r="N42" s="41" t="str">
        <f aca="false">IF(N10="",keycodes!$C$2,IF($B$1="Japanese",IF(INDEX(keycodes!$E:$E,MATCH(N10,keycodes!$A:$A,0),0)&lt;&gt;"",INDEX(keycodes!$E:$E,MATCH(N10,keycodes!$A:$A,0),0),INDEX(keycodes!$C:$C,MATCH(N10,keycodes!$A:$A,0),0)),INDEX(keycodes!$C:$C,MATCH(N10,keycodes!$B:$B,0),0)))</f>
        <v>KC_EQL</v>
      </c>
      <c r="O42" s="43" t="str">
        <f aca="false">IF(O10="",keycodes!$C$2,IF($B$1="Japanese",IF(INDEX(keycodes!$E:$E,MATCH(O10,keycodes!$A:$A,0),0)&lt;&gt;"",INDEX(keycodes!$E:$E,MATCH(O10,keycodes!$A:$A,0),0),INDEX(keycodes!$C:$C,MATCH(O10,keycodes!$A:$A,0),0)),INDEX(keycodes!$C:$C,MATCH(O10,keycodes!$B:$B,0),0)))</f>
        <v>KC_MINS</v>
      </c>
    </row>
    <row r="43" customFormat="false" ht="21" hidden="false" customHeight="true" outlineLevel="0" collapsed="false">
      <c r="A43" s="30"/>
      <c r="B43" s="41" t="str">
        <f aca="false">IF(B11="",keycodes!$C$2,IF($B$1="Japanese",IF(INDEX(keycodes!$E:$E,MATCH(B11,keycodes!$A:$A,0),0)&lt;&gt;"",INDEX(keycodes!$E:$E,MATCH(B11,keycodes!$A:$A,0),0),INDEX(keycodes!$C:$C,MATCH(B11,keycodes!$A:$A,0),0)),INDEX(keycodes!$C:$C,MATCH(B11,keycodes!$B:$B,0),0)))</f>
        <v>_______</v>
      </c>
      <c r="C43" s="41" t="str">
        <f aca="false">IF(C11="",keycodes!$C$2,IF($B$1="Japanese",IF(INDEX(keycodes!$E:$E,MATCH(C11,keycodes!$A:$A,0),0)&lt;&gt;"",INDEX(keycodes!$E:$E,MATCH(C11,keycodes!$A:$A,0),0),INDEX(keycodes!$C:$C,MATCH(C11,keycodes!$A:$A,0),0)),INDEX(keycodes!$C:$C,MATCH(C11,keycodes!$B:$B,0),0)))</f>
        <v>KC_LALT</v>
      </c>
      <c r="D43" s="41" t="str">
        <f aca="false">IF(D11="",keycodes!$C$2,IF($B$1="Japanese",IF(INDEX(keycodes!$E:$E,MATCH(D11,keycodes!$A:$A,0),0)&lt;&gt;"",INDEX(keycodes!$E:$E,MATCH(D11,keycodes!$A:$A,0),0),INDEX(keycodes!$C:$C,MATCH(D11,keycodes!$A:$A,0),0)),INDEX(keycodes!$C:$C,MATCH(D11,keycodes!$B:$B,0),0)))</f>
        <v>XXXXXXX</v>
      </c>
      <c r="E43" s="41" t="str">
        <f aca="false">IF(E11="",keycodes!$C$2,IF($B$1="Japanese",IF(INDEX(keycodes!$E:$E,MATCH(E11,keycodes!$A:$A,0),0)&lt;&gt;"",INDEX(keycodes!$E:$E,MATCH(E11,keycodes!$A:$A,0),0),INDEX(keycodes!$C:$C,MATCH(E11,keycodes!$A:$A,0),0)),INDEX(keycodes!$C:$C,MATCH(E11,keycodes!$B:$B,0),0)))</f>
        <v>XXXXXXX</v>
      </c>
      <c r="F43" s="41" t="str">
        <f aca="false">IF(F11="",keycodes!$C$2,IF($B$1="Japanese",IF(INDEX(keycodes!$E:$E,MATCH(F11,keycodes!$A:$A,0),0)&lt;&gt;"",INDEX(keycodes!$E:$E,MATCH(F11,keycodes!$A:$A,0),0),INDEX(keycodes!$C:$C,MATCH(F11,keycodes!$A:$A,0),0)),INDEX(keycodes!$C:$C,MATCH(F11,keycodes!$B:$B,0),0)))</f>
        <v>KC_INT5</v>
      </c>
      <c r="G43" s="41" t="str">
        <f aca="false">IF(G11="",keycodes!$C$2,IF($B$1="Japanese",IF(INDEX(keycodes!$E:$E,MATCH(G11,keycodes!$A:$A,0),0)&lt;&gt;"",INDEX(keycodes!$E:$E,MATCH(G11,keycodes!$A:$A,0),0),INDEX(keycodes!$C:$C,MATCH(G11,keycodes!$A:$A,0),0)),INDEX(keycodes!$C:$C,MATCH(G11,keycodes!$B:$B,0),0)))</f>
        <v>KC_BSPC</v>
      </c>
      <c r="H43" s="41" t="str">
        <f aca="false">IF(H11="",keycodes!$C$2,IF($B$1="Japanese",IF(INDEX(keycodes!$E:$E,MATCH(H11,keycodes!$A:$A,0),0)&lt;&gt;"",INDEX(keycodes!$E:$E,MATCH(H11,keycodes!$A:$A,0),0),INDEX(keycodes!$C:$C,MATCH(H11,keycodes!$A:$A,0),0)),INDEX(keycodes!$C:$C,MATCH(H11,keycodes!$B:$B,0),0)))</f>
        <v>_______</v>
      </c>
      <c r="I43" s="41" t="str">
        <f aca="false">IF(I11="",keycodes!$C$2,IF($B$1="Japanese",IF(INDEX(keycodes!$E:$E,MATCH(I11,keycodes!$A:$A,0),0)&lt;&gt;"",INDEX(keycodes!$E:$E,MATCH(I11,keycodes!$A:$A,0),0),INDEX(keycodes!$C:$C,MATCH(I11,keycodes!$A:$A,0),0)),INDEX(keycodes!$C:$C,MATCH(I11,keycodes!$B:$B,0),0)))</f>
        <v>_______</v>
      </c>
      <c r="J43" s="41" t="str">
        <f aca="false">IF(J11="",keycodes!$C$2,IF($B$1="Japanese",IF(INDEX(keycodes!$E:$E,MATCH(J11,keycodes!$A:$A,0),0)&lt;&gt;"",INDEX(keycodes!$E:$E,MATCH(J11,keycodes!$A:$A,0),0),INDEX(keycodes!$C:$C,MATCH(J11,keycodes!$A:$A,0),0)),INDEX(keycodes!$C:$C,MATCH(J11,keycodes!$B:$B,0),0)))</f>
        <v>KC_DEL</v>
      </c>
      <c r="K43" s="41" t="str">
        <f aca="false">IF(K11="",keycodes!$C$2,IF($B$1="Japanese",IF(INDEX(keycodes!$E:$E,MATCH(K11,keycodes!$A:$A,0),0)&lt;&gt;"",INDEX(keycodes!$E:$E,MATCH(K11,keycodes!$A:$A,0),0),INDEX(keycodes!$C:$C,MATCH(K11,keycodes!$A:$A,0),0)),INDEX(keycodes!$C:$C,MATCH(K11,keycodes!$B:$B,0),0)))</f>
        <v>KC_INT4</v>
      </c>
      <c r="L43" s="41" t="str">
        <f aca="false">IF(L11="",keycodes!$C$2,IF($B$1="Japanese",IF(INDEX(keycodes!$E:$E,MATCH(L11,keycodes!$A:$A,0),0)&lt;&gt;"",INDEX(keycodes!$E:$E,MATCH(L11,keycodes!$A:$A,0),0),INDEX(keycodes!$C:$C,MATCH(L11,keycodes!$A:$A,0),0)),INDEX(keycodes!$C:$C,MATCH(L11,keycodes!$B:$B,0),0)))</f>
        <v>KC_RBRC</v>
      </c>
      <c r="M43" s="41" t="str">
        <f aca="false">IF(M11="",keycodes!$C$2,IF($B$1="Japanese",IF(INDEX(keycodes!$E:$E,MATCH(M11,keycodes!$A:$A,0),0)&lt;&gt;"",INDEX(keycodes!$E:$E,MATCH(M11,keycodes!$A:$A,0),0),INDEX(keycodes!$C:$C,MATCH(M11,keycodes!$A:$A,0),0)),INDEX(keycodes!$C:$C,MATCH(M11,keycodes!$B:$B,0),0)))</f>
        <v>KC_BSLS</v>
      </c>
      <c r="N43" s="41" t="str">
        <f aca="false">IF(N11="",keycodes!$C$2,IF($B$1="Japanese",IF(INDEX(keycodes!$E:$E,MATCH(N11,keycodes!$A:$A,0),0)&lt;&gt;"",INDEX(keycodes!$E:$E,MATCH(N11,keycodes!$A:$A,0),0),INDEX(keycodes!$C:$C,MATCH(N11,keycodes!$A:$A,0),0)),INDEX(keycodes!$C:$C,MATCH(N11,keycodes!$B:$B,0),0)))</f>
        <v>S(KC_EQL)</v>
      </c>
      <c r="O43" s="43" t="str">
        <f aca="false">IF(O11="",keycodes!$C$2,IF($B$1="Japanese",IF(INDEX(keycodes!$E:$E,MATCH(O11,keycodes!$A:$A,0),0)&lt;&gt;"",INDEX(keycodes!$E:$E,MATCH(O11,keycodes!$A:$A,0),0),INDEX(keycodes!$C:$C,MATCH(O11,keycodes!$A:$A,0),0)),INDEX(keycodes!$C:$C,MATCH(O11,keycodes!$B:$B,0),0)))</f>
        <v>S(KC_INT3)</v>
      </c>
    </row>
    <row r="44" customFormat="false" ht="21" hidden="false" customHeight="true" outlineLevel="0" collapsed="false">
      <c r="A44" s="34"/>
      <c r="B44" s="44" t="str">
        <f aca="false">IF(B12="",keycodes!$C$2,IF($B$1="Japanese",IF(INDEX(keycodes!$E:$E,MATCH(B12,keycodes!$A:$A,0),0)&lt;&gt;"",INDEX(keycodes!$E:$E,MATCH(B12,keycodes!$A:$A,0),0),INDEX(keycodes!$C:$C,MATCH(B12,keycodes!$A:$A,0),0)),INDEX(keycodes!$C:$C,MATCH(B12,keycodes!$B:$B,0),0)))</f>
        <v>NONE</v>
      </c>
      <c r="C44" s="44" t="str">
        <f aca="false">IF(C12="",keycodes!$C$2,IF($B$1="Japanese",IF(INDEX(keycodes!$E:$E,MATCH(C12,keycodes!$A:$A,0),0)&lt;&gt;"",INDEX(keycodes!$E:$E,MATCH(C12,keycodes!$A:$A,0),0),INDEX(keycodes!$C:$C,MATCH(C12,keycodes!$A:$A,0),0)),INDEX(keycodes!$C:$C,MATCH(C12,keycodes!$B:$B,0),0)))</f>
        <v>NONE</v>
      </c>
      <c r="D44" s="44" t="str">
        <f aca="false">IF(D12="",keycodes!$C$2,IF($B$1="Japanese",IF(INDEX(keycodes!$E:$E,MATCH(D12,keycodes!$A:$A,0),0)&lt;&gt;"",INDEX(keycodes!$E:$E,MATCH(D12,keycodes!$A:$A,0),0),INDEX(keycodes!$C:$C,MATCH(D12,keycodes!$A:$A,0),0)),INDEX(keycodes!$C:$C,MATCH(D12,keycodes!$B:$B,0),0)))</f>
        <v>NONE</v>
      </c>
      <c r="E44" s="45" t="str">
        <f aca="false">IF(E12="",keycodes!$C$2,IF($B$1="Japanese",IF(INDEX(keycodes!$E:$E,MATCH(E12,keycodes!$A:$A,0),0)&lt;&gt;"",INDEX(keycodes!$E:$E,MATCH(E12,keycodes!$A:$A,0),0),INDEX(keycodes!$C:$C,MATCH(E12,keycodes!$A:$A,0),0)),INDEX(keycodes!$C:$C,MATCH(E12,keycodes!$B:$B,0),0)))</f>
        <v>_______</v>
      </c>
      <c r="F44" s="45" t="str">
        <f aca="false">IF(F12="",keycodes!$C$2,IF($B$1="Japanese",IF(INDEX(keycodes!$E:$E,MATCH(F12,keycodes!$A:$A,0),0)&lt;&gt;"",INDEX(keycodes!$E:$E,MATCH(F12,keycodes!$A:$A,0),0),INDEX(keycodes!$C:$C,MATCH(F12,keycodes!$A:$A,0),0)),INDEX(keycodes!$C:$C,MATCH(F12,keycodes!$B:$B,0),0)))</f>
        <v>_______</v>
      </c>
      <c r="G44" s="45" t="str">
        <f aca="false">IF(G12="",keycodes!$C$2,IF($B$1="Japanese",IF(INDEX(keycodes!$E:$E,MATCH(G12,keycodes!$A:$A,0),0)&lt;&gt;"",INDEX(keycodes!$E:$E,MATCH(G12,keycodes!$A:$A,0),0),INDEX(keycodes!$C:$C,MATCH(G12,keycodes!$A:$A,0),0)),INDEX(keycodes!$C:$C,MATCH(G12,keycodes!$B:$B,0),0)))</f>
        <v>_______</v>
      </c>
      <c r="H44" s="45" t="str">
        <f aca="false">IF(H12="",keycodes!$C$2,IF($B$1="Japanese",IF(INDEX(keycodes!$E:$E,MATCH(H12,keycodes!$A:$A,0),0)&lt;&gt;"",INDEX(keycodes!$E:$E,MATCH(H12,keycodes!$A:$A,0),0),INDEX(keycodes!$C:$C,MATCH(H12,keycodes!$A:$A,0),0)),INDEX(keycodes!$C:$C,MATCH(H12,keycodes!$B:$B,0),0)))</f>
        <v>_______</v>
      </c>
      <c r="I44" s="45" t="str">
        <f aca="false">IF(I12="",keycodes!$C$2,IF($B$1="Japanese",IF(INDEX(keycodes!$E:$E,MATCH(I12,keycodes!$A:$A,0),0)&lt;&gt;"",INDEX(keycodes!$E:$E,MATCH(I12,keycodes!$A:$A,0),0),INDEX(keycodes!$C:$C,MATCH(I12,keycodes!$A:$A,0),0)),INDEX(keycodes!$C:$C,MATCH(I12,keycodes!$B:$B,0),0)))</f>
        <v>_______</v>
      </c>
      <c r="J44" s="45" t="str">
        <f aca="false">IF(J12="",keycodes!$C$2,IF($B$1="Japanese",IF(INDEX(keycodes!$E:$E,MATCH(J12,keycodes!$A:$A,0),0)&lt;&gt;"",INDEX(keycodes!$E:$E,MATCH(J12,keycodes!$A:$A,0),0),INDEX(keycodes!$C:$C,MATCH(J12,keycodes!$A:$A,0),0)),INDEX(keycodes!$C:$C,MATCH(J12,keycodes!$B:$B,0),0)))</f>
        <v>_______</v>
      </c>
      <c r="K44" s="45" t="str">
        <f aca="false">IF(K12="",keycodes!$C$2,IF($B$1="Japanese",IF(INDEX(keycodes!$E:$E,MATCH(K12,keycodes!$A:$A,0),0)&lt;&gt;"",INDEX(keycodes!$E:$E,MATCH(K12,keycodes!$A:$A,0),0),INDEX(keycodes!$C:$C,MATCH(K12,keycodes!$A:$A,0),0)),INDEX(keycodes!$C:$C,MATCH(K12,keycodes!$B:$B,0),0)))</f>
        <v>_______</v>
      </c>
      <c r="L44" s="45" t="str">
        <f aca="false">IF(L12="",keycodes!$C$2,IF($B$1="Japanese",IF(INDEX(keycodes!$E:$E,MATCH(L12,keycodes!$A:$A,0),0)&lt;&gt;"",INDEX(keycodes!$E:$E,MATCH(L12,keycodes!$A:$A,0),0),INDEX(keycodes!$C:$C,MATCH(L12,keycodes!$A:$A,0),0)),INDEX(keycodes!$C:$C,MATCH(L12,keycodes!$B:$B,0),0)))</f>
        <v>_______</v>
      </c>
      <c r="M44" s="44" t="str">
        <f aca="false">IF(M12="",keycodes!$C$2,IF($B$1="Japanese",IF(INDEX(keycodes!$E:$E,MATCH(M12,keycodes!$A:$A,0),0)&lt;&gt;"",INDEX(keycodes!$E:$E,MATCH(M12,keycodes!$A:$A,0),0),INDEX(keycodes!$C:$C,MATCH(M12,keycodes!$A:$A,0),0)),INDEX(keycodes!$C:$C,MATCH(M12,keycodes!$B:$B,0),0)))</f>
        <v>TERM</v>
      </c>
      <c r="N44" s="44" t="str">
        <f aca="false">IF(N12="",keycodes!$C$2,IF($B$1="Japanese",IF(INDEX(keycodes!$E:$E,MATCH(N12,keycodes!$A:$A,0),0)&lt;&gt;"",INDEX(keycodes!$E:$E,MATCH(N12,keycodes!$A:$A,0),0),INDEX(keycodes!$C:$C,MATCH(N12,keycodes!$A:$A,0),0)),INDEX(keycodes!$C:$C,MATCH(N12,keycodes!$B:$B,0),0)))</f>
        <v>TERM</v>
      </c>
      <c r="O44" s="46" t="str">
        <f aca="false">IF(O12="",keycodes!$C$2,IF($B$1="Japanese",IF(INDEX(keycodes!$E:$E,MATCH(O12,keycodes!$A:$A,0),0)&lt;&gt;"",INDEX(keycodes!$E:$E,MATCH(O12,keycodes!$A:$A,0),0),INDEX(keycodes!$C:$C,MATCH(O12,keycodes!$A:$A,0),0)),INDEX(keycodes!$C:$C,MATCH(O12,keycodes!$B:$B,0),0)))</f>
        <v>TERM</v>
      </c>
    </row>
    <row r="45" customFormat="false" ht="21" hidden="false" customHeight="true" outlineLevel="0" collapsed="false">
      <c r="A45" s="26" t="s">
        <v>318</v>
      </c>
      <c r="B45" s="38" t="str">
        <f aca="false">IF(B13="",keycodes!$C$2,IF($B$1="Japanese",IF(INDEX(keycodes!$E:$E,MATCH(B13,keycodes!$A:$A,0),0)&lt;&gt;"",INDEX(keycodes!$E:$E,MATCH(B13,keycodes!$A:$A,0),0),INDEX(keycodes!$C:$C,MATCH(B13,keycodes!$A:$A,0),0)),INDEX(keycodes!$C:$C,MATCH(B13,keycodes!$B:$B,0),0)))</f>
        <v>KC_F1</v>
      </c>
      <c r="C45" s="38" t="str">
        <f aca="false">IF(C13="",keycodes!$C$2,IF($B$1="Japanese",IF(INDEX(keycodes!$E:$E,MATCH(C13,keycodes!$A:$A,0),0)&lt;&gt;"",INDEX(keycodes!$E:$E,MATCH(C13,keycodes!$A:$A,0),0),INDEX(keycodes!$C:$C,MATCH(C13,keycodes!$A:$A,0),0)),INDEX(keycodes!$C:$C,MATCH(C13,keycodes!$B:$B,0),0)))</f>
        <v>KC_F2</v>
      </c>
      <c r="D45" s="38" t="str">
        <f aca="false">IF(D13="",keycodes!$C$2,IF($B$1="Japanese",IF(INDEX(keycodes!$E:$E,MATCH(D13,keycodes!$A:$A,0),0)&lt;&gt;"",INDEX(keycodes!$E:$E,MATCH(D13,keycodes!$A:$A,0),0),INDEX(keycodes!$C:$C,MATCH(D13,keycodes!$A:$A,0),0)),INDEX(keycodes!$C:$C,MATCH(D13,keycodes!$B:$B,0),0)))</f>
        <v>KC_F3</v>
      </c>
      <c r="E45" s="38" t="str">
        <f aca="false">IF(E13="",keycodes!$C$2,IF($B$1="Japanese",IF(INDEX(keycodes!$E:$E,MATCH(E13,keycodes!$A:$A,0),0)&lt;&gt;"",INDEX(keycodes!$E:$E,MATCH(E13,keycodes!$A:$A,0),0),INDEX(keycodes!$C:$C,MATCH(E13,keycodes!$A:$A,0),0)),INDEX(keycodes!$C:$C,MATCH(E13,keycodes!$B:$B,0),0)))</f>
        <v>KC_F4</v>
      </c>
      <c r="F45" s="38" t="str">
        <f aca="false">IF(F13="",keycodes!$C$2,IF($B$1="Japanese",IF(INDEX(keycodes!$E:$E,MATCH(F13,keycodes!$A:$A,0),0)&lt;&gt;"",INDEX(keycodes!$E:$E,MATCH(F13,keycodes!$A:$A,0),0),INDEX(keycodes!$C:$C,MATCH(F13,keycodes!$A:$A,0),0)),INDEX(keycodes!$C:$C,MATCH(F13,keycodes!$B:$B,0),0)))</f>
        <v>KC_F5</v>
      </c>
      <c r="G45" s="38" t="str">
        <f aca="false">IF(G13="",keycodes!$C$2,IF($B$1="Japanese",IF(INDEX(keycodes!$E:$E,MATCH(G13,keycodes!$A:$A,0),0)&lt;&gt;"",INDEX(keycodes!$E:$E,MATCH(G13,keycodes!$A:$A,0),0),INDEX(keycodes!$C:$C,MATCH(G13,keycodes!$A:$A,0),0)),INDEX(keycodes!$C:$C,MATCH(G13,keycodes!$B:$B,0),0)))</f>
        <v>KC_F6</v>
      </c>
      <c r="H45" s="39" t="str">
        <f aca="false">IF(H13="",keycodes!$C$2,IF($B$1="Japanese",IF(INDEX(keycodes!$E:$E,MATCH(H13,keycodes!$A:$A,0),0)&lt;&gt;"",INDEX(keycodes!$E:$E,MATCH(H13,keycodes!$A:$A,0),0),INDEX(keycodes!$C:$C,MATCH(H13,keycodes!$A:$A,0),0)),INDEX(keycodes!$C:$C,MATCH(H13,keycodes!$B:$B,0),0)))</f>
        <v>NONE</v>
      </c>
      <c r="I45" s="39" t="str">
        <f aca="false">IF(I13="",keycodes!$C$2,IF($B$1="Japanese",IF(INDEX(keycodes!$E:$E,MATCH(I13,keycodes!$A:$A,0),0)&lt;&gt;"",INDEX(keycodes!$E:$E,MATCH(I13,keycodes!$A:$A,0),0),INDEX(keycodes!$C:$C,MATCH(I13,keycodes!$A:$A,0),0)),INDEX(keycodes!$C:$C,MATCH(I13,keycodes!$B:$B,0),0)))</f>
        <v>NONE</v>
      </c>
      <c r="J45" s="38" t="str">
        <f aca="false">IF(J13="",keycodes!$C$2,IF($B$1="Japanese",IF(INDEX(keycodes!$E:$E,MATCH(J13,keycodes!$A:$A,0),0)&lt;&gt;"",INDEX(keycodes!$E:$E,MATCH(J13,keycodes!$A:$A,0),0),INDEX(keycodes!$C:$C,MATCH(J13,keycodes!$A:$A,0),0)),INDEX(keycodes!$C:$C,MATCH(J13,keycodes!$B:$B,0),0)))</f>
        <v>KC_F7</v>
      </c>
      <c r="K45" s="38" t="str">
        <f aca="false">IF(K13="",keycodes!$C$2,IF($B$1="Japanese",IF(INDEX(keycodes!$E:$E,MATCH(K13,keycodes!$A:$A,0),0)&lt;&gt;"",INDEX(keycodes!$E:$E,MATCH(K13,keycodes!$A:$A,0),0),INDEX(keycodes!$C:$C,MATCH(K13,keycodes!$A:$A,0),0)),INDEX(keycodes!$C:$C,MATCH(K13,keycodes!$B:$B,0),0)))</f>
        <v>KC_F8</v>
      </c>
      <c r="L45" s="38" t="str">
        <f aca="false">IF(L13="",keycodes!$C$2,IF($B$1="Japanese",IF(INDEX(keycodes!$E:$E,MATCH(L13,keycodes!$A:$A,0),0)&lt;&gt;"",INDEX(keycodes!$E:$E,MATCH(L13,keycodes!$A:$A,0),0),INDEX(keycodes!$C:$C,MATCH(L13,keycodes!$A:$A,0),0)),INDEX(keycodes!$C:$C,MATCH(L13,keycodes!$B:$B,0),0)))</f>
        <v>KC_F9</v>
      </c>
      <c r="M45" s="38" t="str">
        <f aca="false">IF(M13="",keycodes!$C$2,IF($B$1="Japanese",IF(INDEX(keycodes!$E:$E,MATCH(M13,keycodes!$A:$A,0),0)&lt;&gt;"",INDEX(keycodes!$E:$E,MATCH(M13,keycodes!$A:$A,0),0),INDEX(keycodes!$C:$C,MATCH(M13,keycodes!$A:$A,0),0)),INDEX(keycodes!$C:$C,MATCH(M13,keycodes!$B:$B,0),0)))</f>
        <v>KC_F10</v>
      </c>
      <c r="N45" s="38" t="str">
        <f aca="false">IF(N13="",keycodes!$C$2,IF($B$1="Japanese",IF(INDEX(keycodes!$E:$E,MATCH(N13,keycodes!$A:$A,0),0)&lt;&gt;"",INDEX(keycodes!$E:$E,MATCH(N13,keycodes!$A:$A,0),0),INDEX(keycodes!$C:$C,MATCH(N13,keycodes!$A:$A,0),0)),INDEX(keycodes!$C:$C,MATCH(N13,keycodes!$B:$B,0),0)))</f>
        <v>KC_F11</v>
      </c>
      <c r="O45" s="40" t="str">
        <f aca="false">IF(O13="",keycodes!$C$2,IF($B$1="Japanese",IF(INDEX(keycodes!$E:$E,MATCH(O13,keycodes!$A:$A,0),0)&lt;&gt;"",INDEX(keycodes!$E:$E,MATCH(O13,keycodes!$A:$A,0),0),INDEX(keycodes!$C:$C,MATCH(O13,keycodes!$A:$A,0),0)),INDEX(keycodes!$C:$C,MATCH(O13,keycodes!$B:$B,0),0)))</f>
        <v>KC_F12</v>
      </c>
    </row>
    <row r="46" customFormat="false" ht="21" hidden="false" customHeight="true" outlineLevel="0" collapsed="false">
      <c r="A46" s="30"/>
      <c r="B46" s="41" t="str">
        <f aca="false">IF(B14="",keycodes!$C$2,IF($B$1="Japanese",IF(INDEX(keycodes!$E:$E,MATCH(B14,keycodes!$A:$A,0),0)&lt;&gt;"",INDEX(keycodes!$E:$E,MATCH(B14,keycodes!$A:$A,0),0),INDEX(keycodes!$C:$C,MATCH(B14,keycodes!$A:$A,0),0)),INDEX(keycodes!$C:$C,MATCH(B14,keycodes!$B:$B,0),0)))</f>
        <v>XXXXXXX</v>
      </c>
      <c r="C46" s="41" t="str">
        <f aca="false">IF(C14="",keycodes!$C$2,IF($B$1="Japanese",IF(INDEX(keycodes!$E:$E,MATCH(C14,keycodes!$A:$A,0),0)&lt;&gt;"",INDEX(keycodes!$E:$E,MATCH(C14,keycodes!$A:$A,0),0),INDEX(keycodes!$C:$C,MATCH(C14,keycodes!$A:$A,0),0)),INDEX(keycodes!$C:$C,MATCH(C14,keycodes!$B:$B,0),0)))</f>
        <v>XXXXXXX</v>
      </c>
      <c r="D46" s="41" t="str">
        <f aca="false">IF(D14="",keycodes!$C$2,IF($B$1="Japanese",IF(INDEX(keycodes!$E:$E,MATCH(D14,keycodes!$A:$A,0),0)&lt;&gt;"",INDEX(keycodes!$E:$E,MATCH(D14,keycodes!$A:$A,0),0),INDEX(keycodes!$C:$C,MATCH(D14,keycodes!$A:$A,0),0)),INDEX(keycodes!$C:$C,MATCH(D14,keycodes!$B:$B,0),0)))</f>
        <v>XXXXXXX</v>
      </c>
      <c r="E46" s="41" t="str">
        <f aca="false">IF(E14="",keycodes!$C$2,IF($B$1="Japanese",IF(INDEX(keycodes!$E:$E,MATCH(E14,keycodes!$A:$A,0),0)&lt;&gt;"",INDEX(keycodes!$E:$E,MATCH(E14,keycodes!$A:$A,0),0),INDEX(keycodes!$C:$C,MATCH(E14,keycodes!$A:$A,0),0)),INDEX(keycodes!$C:$C,MATCH(E14,keycodes!$B:$B,0),0)))</f>
        <v>XXXXXXX</v>
      </c>
      <c r="F46" s="41" t="str">
        <f aca="false">IF(F14="",keycodes!$C$2,IF($B$1="Japanese",IF(INDEX(keycodes!$E:$E,MATCH(F14,keycodes!$A:$A,0),0)&lt;&gt;"",INDEX(keycodes!$E:$E,MATCH(F14,keycodes!$A:$A,0),0),INDEX(keycodes!$C:$C,MATCH(F14,keycodes!$A:$A,0),0)),INDEX(keycodes!$C:$C,MATCH(F14,keycodes!$B:$B,0),0)))</f>
        <v>XXXXXXX</v>
      </c>
      <c r="G46" s="41" t="str">
        <f aca="false">IF(G14="",keycodes!$C$2,IF($B$1="Japanese",IF(INDEX(keycodes!$E:$E,MATCH(G14,keycodes!$A:$A,0),0)&lt;&gt;"",INDEX(keycodes!$E:$E,MATCH(G14,keycodes!$A:$A,0),0),INDEX(keycodes!$C:$C,MATCH(G14,keycodes!$A:$A,0),0)),INDEX(keycodes!$C:$C,MATCH(G14,keycodes!$B:$B,0),0)))</f>
        <v>XXXXXXX</v>
      </c>
      <c r="H46" s="42" t="str">
        <f aca="false">IF(H14="",keycodes!$C$2,IF($B$1="Japanese",IF(INDEX(keycodes!$E:$E,MATCH(H14,keycodes!$A:$A,0),0)&lt;&gt;"",INDEX(keycodes!$E:$E,MATCH(H14,keycodes!$A:$A,0),0),INDEX(keycodes!$C:$C,MATCH(H14,keycodes!$A:$A,0),0)),INDEX(keycodes!$C:$C,MATCH(H14,keycodes!$B:$B,0),0)))</f>
        <v>NONE</v>
      </c>
      <c r="I46" s="42" t="str">
        <f aca="false">IF(I14="",keycodes!$C$2,IF($B$1="Japanese",IF(INDEX(keycodes!$E:$E,MATCH(I14,keycodes!$A:$A,0),0)&lt;&gt;"",INDEX(keycodes!$E:$E,MATCH(I14,keycodes!$A:$A,0),0),INDEX(keycodes!$C:$C,MATCH(I14,keycodes!$A:$A,0),0)),INDEX(keycodes!$C:$C,MATCH(I14,keycodes!$B:$B,0),0)))</f>
        <v>NONE</v>
      </c>
      <c r="J46" s="41" t="str">
        <f aca="false">IF(J14="",keycodes!$C$2,IF($B$1="Japanese",IF(INDEX(keycodes!$E:$E,MATCH(J14,keycodes!$A:$A,0),0)&lt;&gt;"",INDEX(keycodes!$E:$E,MATCH(J14,keycodes!$A:$A,0),0),INDEX(keycodes!$C:$C,MATCH(J14,keycodes!$A:$A,0),0)),INDEX(keycodes!$C:$C,MATCH(J14,keycodes!$B:$B,0),0)))</f>
        <v>XXXXXXX</v>
      </c>
      <c r="K46" s="41" t="str">
        <f aca="false">IF(K14="",keycodes!$C$2,IF($B$1="Japanese",IF(INDEX(keycodes!$E:$E,MATCH(K14,keycodes!$A:$A,0),0)&lt;&gt;"",INDEX(keycodes!$E:$E,MATCH(K14,keycodes!$A:$A,0),0),INDEX(keycodes!$C:$C,MATCH(K14,keycodes!$A:$A,0),0)),INDEX(keycodes!$C:$C,MATCH(K14,keycodes!$B:$B,0),0)))</f>
        <v>XXXXXXX</v>
      </c>
      <c r="L46" s="41" t="str">
        <f aca="false">IF(L14="",keycodes!$C$2,IF($B$1="Japanese",IF(INDEX(keycodes!$E:$E,MATCH(L14,keycodes!$A:$A,0),0)&lt;&gt;"",INDEX(keycodes!$E:$E,MATCH(L14,keycodes!$A:$A,0),0),INDEX(keycodes!$C:$C,MATCH(L14,keycodes!$A:$A,0),0)),INDEX(keycodes!$C:$C,MATCH(L14,keycodes!$B:$B,0),0)))</f>
        <v>XXXXXXX</v>
      </c>
      <c r="M46" s="41" t="str">
        <f aca="false">IF(M14="",keycodes!$C$2,IF($B$1="Japanese",IF(INDEX(keycodes!$E:$E,MATCH(M14,keycodes!$A:$A,0),0)&lt;&gt;"",INDEX(keycodes!$E:$E,MATCH(M14,keycodes!$A:$A,0),0),INDEX(keycodes!$C:$C,MATCH(M14,keycodes!$A:$A,0),0)),INDEX(keycodes!$C:$C,MATCH(M14,keycodes!$B:$B,0),0)))</f>
        <v>XXXXXXX</v>
      </c>
      <c r="N46" s="41" t="str">
        <f aca="false">IF(N14="",keycodes!$C$2,IF($B$1="Japanese",IF(INDEX(keycodes!$E:$E,MATCH(N14,keycodes!$A:$A,0),0)&lt;&gt;"",INDEX(keycodes!$E:$E,MATCH(N14,keycodes!$A:$A,0),0),INDEX(keycodes!$C:$C,MATCH(N14,keycodes!$A:$A,0),0)),INDEX(keycodes!$C:$C,MATCH(N14,keycodes!$B:$B,0),0)))</f>
        <v>XXXXXXX</v>
      </c>
      <c r="O46" s="43" t="str">
        <f aca="false">IF(O14="",keycodes!$C$2,IF($B$1="Japanese",IF(INDEX(keycodes!$E:$E,MATCH(O14,keycodes!$A:$A,0),0)&lt;&gt;"",INDEX(keycodes!$E:$E,MATCH(O14,keycodes!$A:$A,0),0),INDEX(keycodes!$C:$C,MATCH(O14,keycodes!$A:$A,0),0)),INDEX(keycodes!$C:$C,MATCH(O14,keycodes!$B:$B,0),0)))</f>
        <v>XXXXXXX</v>
      </c>
    </row>
    <row r="47" customFormat="false" ht="21" hidden="false" customHeight="true" outlineLevel="0" collapsed="false">
      <c r="A47" s="30"/>
      <c r="B47" s="41" t="str">
        <f aca="false">IF(B15="",keycodes!$C$2,IF($B$1="Japanese",IF(INDEX(keycodes!$E:$E,MATCH(B15,keycodes!$A:$A,0),0)&lt;&gt;"",INDEX(keycodes!$E:$E,MATCH(B15,keycodes!$A:$A,0),0),INDEX(keycodes!$C:$C,MATCH(B15,keycodes!$A:$A,0),0)),INDEX(keycodes!$C:$C,MATCH(B15,keycodes!$B:$B,0),0)))</f>
        <v>KC_GRV</v>
      </c>
      <c r="C47" s="41" t="str">
        <f aca="false">IF(C15="",keycodes!$C$2,IF($B$1="Japanese",IF(INDEX(keycodes!$E:$E,MATCH(C15,keycodes!$A:$A,0),0)&lt;&gt;"",INDEX(keycodes!$E:$E,MATCH(C15,keycodes!$A:$A,0),0),INDEX(keycodes!$C:$C,MATCH(C15,keycodes!$A:$A,0),0)),INDEX(keycodes!$C:$C,MATCH(C15,keycodes!$B:$B,0),0)))</f>
        <v>KC_1</v>
      </c>
      <c r="D47" s="41" t="str">
        <f aca="false">IF(D15="",keycodes!$C$2,IF($B$1="Japanese",IF(INDEX(keycodes!$E:$E,MATCH(D15,keycodes!$A:$A,0),0)&lt;&gt;"",INDEX(keycodes!$E:$E,MATCH(D15,keycodes!$A:$A,0),0),INDEX(keycodes!$C:$C,MATCH(D15,keycodes!$A:$A,0),0)),INDEX(keycodes!$C:$C,MATCH(D15,keycodes!$B:$B,0),0)))</f>
        <v>KC_2</v>
      </c>
      <c r="E47" s="41" t="str">
        <f aca="false">IF(E15="",keycodes!$C$2,IF($B$1="Japanese",IF(INDEX(keycodes!$E:$E,MATCH(E15,keycodes!$A:$A,0),0)&lt;&gt;"",INDEX(keycodes!$E:$E,MATCH(E15,keycodes!$A:$A,0),0),INDEX(keycodes!$C:$C,MATCH(E15,keycodes!$A:$A,0),0)),INDEX(keycodes!$C:$C,MATCH(E15,keycodes!$B:$B,0),0)))</f>
        <v>KC_3</v>
      </c>
      <c r="F47" s="41" t="str">
        <f aca="false">IF(F15="",keycodes!$C$2,IF($B$1="Japanese",IF(INDEX(keycodes!$E:$E,MATCH(F15,keycodes!$A:$A,0),0)&lt;&gt;"",INDEX(keycodes!$E:$E,MATCH(F15,keycodes!$A:$A,0),0),INDEX(keycodes!$C:$C,MATCH(F15,keycodes!$A:$A,0),0)),INDEX(keycodes!$C:$C,MATCH(F15,keycodes!$B:$B,0),0)))</f>
        <v>KC_4</v>
      </c>
      <c r="G47" s="41" t="str">
        <f aca="false">IF(G15="",keycodes!$C$2,IF($B$1="Japanese",IF(INDEX(keycodes!$E:$E,MATCH(G15,keycodes!$A:$A,0),0)&lt;&gt;"",INDEX(keycodes!$E:$E,MATCH(G15,keycodes!$A:$A,0),0),INDEX(keycodes!$C:$C,MATCH(G15,keycodes!$A:$A,0),0)),INDEX(keycodes!$C:$C,MATCH(G15,keycodes!$B:$B,0),0)))</f>
        <v>KC_5</v>
      </c>
      <c r="H47" s="42" t="str">
        <f aca="false">IF(H15="",keycodes!$C$2,IF($B$1="Japanese",IF(INDEX(keycodes!$E:$E,MATCH(H15,keycodes!$A:$A,0),0)&lt;&gt;"",INDEX(keycodes!$E:$E,MATCH(H15,keycodes!$A:$A,0),0),INDEX(keycodes!$C:$C,MATCH(H15,keycodes!$A:$A,0),0)),INDEX(keycodes!$C:$C,MATCH(H15,keycodes!$B:$B,0),0)))</f>
        <v>NONE</v>
      </c>
      <c r="I47" s="42" t="str">
        <f aca="false">IF(I15="",keycodes!$C$2,IF($B$1="Japanese",IF(INDEX(keycodes!$E:$E,MATCH(I15,keycodes!$A:$A,0),0)&lt;&gt;"",INDEX(keycodes!$E:$E,MATCH(I15,keycodes!$A:$A,0),0),INDEX(keycodes!$C:$C,MATCH(I15,keycodes!$A:$A,0),0)),INDEX(keycodes!$C:$C,MATCH(I15,keycodes!$B:$B,0),0)))</f>
        <v>NONE</v>
      </c>
      <c r="J47" s="41" t="str">
        <f aca="false">IF(J15="",keycodes!$C$2,IF($B$1="Japanese",IF(INDEX(keycodes!$E:$E,MATCH(J15,keycodes!$A:$A,0),0)&lt;&gt;"",INDEX(keycodes!$E:$E,MATCH(J15,keycodes!$A:$A,0),0),INDEX(keycodes!$C:$C,MATCH(J15,keycodes!$A:$A,0),0)),INDEX(keycodes!$C:$C,MATCH(J15,keycodes!$B:$B,0),0)))</f>
        <v>KC_6</v>
      </c>
      <c r="K47" s="41" t="str">
        <f aca="false">IF(K15="",keycodes!$C$2,IF($B$1="Japanese",IF(INDEX(keycodes!$E:$E,MATCH(K15,keycodes!$A:$A,0),0)&lt;&gt;"",INDEX(keycodes!$E:$E,MATCH(K15,keycodes!$A:$A,0),0),INDEX(keycodes!$C:$C,MATCH(K15,keycodes!$A:$A,0),0)),INDEX(keycodes!$C:$C,MATCH(K15,keycodes!$B:$B,0),0)))</f>
        <v>KC_7</v>
      </c>
      <c r="L47" s="41" t="str">
        <f aca="false">IF(L15="",keycodes!$C$2,IF($B$1="Japanese",IF(INDEX(keycodes!$E:$E,MATCH(L15,keycodes!$A:$A,0),0)&lt;&gt;"",INDEX(keycodes!$E:$E,MATCH(L15,keycodes!$A:$A,0),0),INDEX(keycodes!$C:$C,MATCH(L15,keycodes!$A:$A,0),0)),INDEX(keycodes!$C:$C,MATCH(L15,keycodes!$B:$B,0),0)))</f>
        <v>KC_8</v>
      </c>
      <c r="M47" s="41" t="str">
        <f aca="false">IF(M15="",keycodes!$C$2,IF($B$1="Japanese",IF(INDEX(keycodes!$E:$E,MATCH(M15,keycodes!$A:$A,0),0)&lt;&gt;"",INDEX(keycodes!$E:$E,MATCH(M15,keycodes!$A:$A,0),0),INDEX(keycodes!$C:$C,MATCH(M15,keycodes!$A:$A,0),0)),INDEX(keycodes!$C:$C,MATCH(M15,keycodes!$B:$B,0),0)))</f>
        <v>KC_9</v>
      </c>
      <c r="N47" s="41" t="str">
        <f aca="false">IF(N15="",keycodes!$C$2,IF($B$1="Japanese",IF(INDEX(keycodes!$E:$E,MATCH(N15,keycodes!$A:$A,0),0)&lt;&gt;"",INDEX(keycodes!$E:$E,MATCH(N15,keycodes!$A:$A,0),0),INDEX(keycodes!$C:$C,MATCH(N15,keycodes!$A:$A,0),0)),INDEX(keycodes!$C:$C,MATCH(N15,keycodes!$B:$B,0),0)))</f>
        <v>KC_0</v>
      </c>
      <c r="O47" s="43" t="str">
        <f aca="false">IF(O15="",keycodes!$C$2,IF($B$1="Japanese",IF(INDEX(keycodes!$E:$E,MATCH(O15,keycodes!$A:$A,0),0)&lt;&gt;"",INDEX(keycodes!$E:$E,MATCH(O15,keycodes!$A:$A,0),0),INDEX(keycodes!$C:$C,MATCH(O15,keycodes!$A:$A,0),0)),INDEX(keycodes!$C:$C,MATCH(O15,keycodes!$B:$B,0),0)))</f>
        <v>_______</v>
      </c>
    </row>
    <row r="48" customFormat="false" ht="21" hidden="false" customHeight="true" outlineLevel="0" collapsed="false">
      <c r="A48" s="30"/>
      <c r="B48" s="41" t="str">
        <f aca="false">IF(B16="",keycodes!$C$2,IF($B$1="Japanese",IF(INDEX(keycodes!$E:$E,MATCH(B16,keycodes!$A:$A,0),0)&lt;&gt;"",INDEX(keycodes!$E:$E,MATCH(B16,keycodes!$A:$A,0),0),INDEX(keycodes!$C:$C,MATCH(B16,keycodes!$A:$A,0),0)),INDEX(keycodes!$C:$C,MATCH(B16,keycodes!$B:$B,0),0)))</f>
        <v>_______</v>
      </c>
      <c r="C48" s="41" t="str">
        <f aca="false">IF(C16="",keycodes!$C$2,IF($B$1="Japanese",IF(INDEX(keycodes!$E:$E,MATCH(C16,keycodes!$A:$A,0),0)&lt;&gt;"",INDEX(keycodes!$E:$E,MATCH(C16,keycodes!$A:$A,0),0),INDEX(keycodes!$C:$C,MATCH(C16,keycodes!$A:$A,0),0)),INDEX(keycodes!$C:$C,MATCH(C16,keycodes!$B:$B,0),0)))</f>
        <v>_______</v>
      </c>
      <c r="D48" s="41" t="str">
        <f aca="false">IF(D16="",keycodes!$C$2,IF($B$1="Japanese",IF(INDEX(keycodes!$E:$E,MATCH(D16,keycodes!$A:$A,0),0)&lt;&gt;"",INDEX(keycodes!$E:$E,MATCH(D16,keycodes!$A:$A,0),0),INDEX(keycodes!$C:$C,MATCH(D16,keycodes!$A:$A,0),0)),INDEX(keycodes!$C:$C,MATCH(D16,keycodes!$B:$B,0),0)))</f>
        <v>MS_WHLL</v>
      </c>
      <c r="E48" s="41" t="str">
        <f aca="false">IF(E16="",keycodes!$C$2,IF($B$1="Japanese",IF(INDEX(keycodes!$E:$E,MATCH(E16,keycodes!$A:$A,0),0)&lt;&gt;"",INDEX(keycodes!$E:$E,MATCH(E16,keycodes!$A:$A,0),0),INDEX(keycodes!$C:$C,MATCH(E16,keycodes!$A:$A,0),0)),INDEX(keycodes!$C:$C,MATCH(E16,keycodes!$B:$B,0),0)))</f>
        <v>MS_WHLR</v>
      </c>
      <c r="F48" s="41" t="str">
        <f aca="false">IF(F16="",keycodes!$C$2,IF($B$1="Japanese",IF(INDEX(keycodes!$E:$E,MATCH(F16,keycodes!$A:$A,0),0)&lt;&gt;"",INDEX(keycodes!$E:$E,MATCH(F16,keycodes!$A:$A,0),0),INDEX(keycodes!$C:$C,MATCH(F16,keycodes!$A:$A,0),0)),INDEX(keycodes!$C:$C,MATCH(F16,keycodes!$B:$B,0),0)))</f>
        <v>_______</v>
      </c>
      <c r="G48" s="41" t="str">
        <f aca="false">IF(G16="",keycodes!$C$2,IF($B$1="Japanese",IF(INDEX(keycodes!$E:$E,MATCH(G16,keycodes!$A:$A,0),0)&lt;&gt;"",INDEX(keycodes!$E:$E,MATCH(G16,keycodes!$A:$A,0),0),INDEX(keycodes!$C:$C,MATCH(G16,keycodes!$A:$A,0),0)),INDEX(keycodes!$C:$C,MATCH(G16,keycodes!$B:$B,0),0)))</f>
        <v>_______</v>
      </c>
      <c r="H48" s="41" t="str">
        <f aca="false">IF(H16="",keycodes!$C$2,IF($B$1="Japanese",IF(INDEX(keycodes!$E:$E,MATCH(H16,keycodes!$A:$A,0),0)&lt;&gt;"",INDEX(keycodes!$E:$E,MATCH(H16,keycodes!$A:$A,0),0),INDEX(keycodes!$C:$C,MATCH(H16,keycodes!$A:$A,0),0)),INDEX(keycodes!$C:$C,MATCH(H16,keycodes!$B:$B,0),0)))</f>
        <v>_______</v>
      </c>
      <c r="I48" s="41" t="str">
        <f aca="false">IF(I16="",keycodes!$C$2,IF($B$1="Japanese",IF(INDEX(keycodes!$E:$E,MATCH(I16,keycodes!$A:$A,0),0)&lt;&gt;"",INDEX(keycodes!$E:$E,MATCH(I16,keycodes!$A:$A,0),0),INDEX(keycodes!$C:$C,MATCH(I16,keycodes!$A:$A,0),0)),INDEX(keycodes!$C:$C,MATCH(I16,keycodes!$B:$B,0),0)))</f>
        <v>_______</v>
      </c>
      <c r="J48" s="41" t="str">
        <f aca="false">IF(J16="",keycodes!$C$2,IF($B$1="Japanese",IF(INDEX(keycodes!$E:$E,MATCH(J16,keycodes!$A:$A,0),0)&lt;&gt;"",INDEX(keycodes!$E:$E,MATCH(J16,keycodes!$A:$A,0),0),INDEX(keycodes!$C:$C,MATCH(J16,keycodes!$A:$A,0),0)),INDEX(keycodes!$C:$C,MATCH(J16,keycodes!$B:$B,0),0)))</f>
        <v>_______</v>
      </c>
      <c r="K48" s="41" t="str">
        <f aca="false">IF(K16="",keycodes!$C$2,IF($B$1="Japanese",IF(INDEX(keycodes!$E:$E,MATCH(K16,keycodes!$A:$A,0),0)&lt;&gt;"",INDEX(keycodes!$E:$E,MATCH(K16,keycodes!$A:$A,0),0),INDEX(keycodes!$C:$C,MATCH(K16,keycodes!$A:$A,0),0)),INDEX(keycodes!$C:$C,MATCH(K16,keycodes!$B:$B,0),0)))</f>
        <v>_______</v>
      </c>
      <c r="L48" s="41" t="str">
        <f aca="false">IF(L16="",keycodes!$C$2,IF($B$1="Japanese",IF(INDEX(keycodes!$E:$E,MATCH(L16,keycodes!$A:$A,0),0)&lt;&gt;"",INDEX(keycodes!$E:$E,MATCH(L16,keycodes!$A:$A,0),0),INDEX(keycodes!$C:$C,MATCH(L16,keycodes!$A:$A,0),0)),INDEX(keycodes!$C:$C,MATCH(L16,keycodes!$B:$B,0),0)))</f>
        <v>KC_COMM</v>
      </c>
      <c r="M48" s="41" t="str">
        <f aca="false">IF(M16="",keycodes!$C$2,IF($B$1="Japanese",IF(INDEX(keycodes!$E:$E,MATCH(M16,keycodes!$A:$A,0),0)&lt;&gt;"",INDEX(keycodes!$E:$E,MATCH(M16,keycodes!$A:$A,0),0),INDEX(keycodes!$C:$C,MATCH(M16,keycodes!$A:$A,0),0)),INDEX(keycodes!$C:$C,MATCH(M16,keycodes!$B:$B,0),0)))</f>
        <v>KC_DOT</v>
      </c>
      <c r="N48" s="41" t="str">
        <f aca="false">IF(N16="",keycodes!$C$2,IF($B$1="Japanese",IF(INDEX(keycodes!$E:$E,MATCH(N16,keycodes!$A:$A,0),0)&lt;&gt;"",INDEX(keycodes!$E:$E,MATCH(N16,keycodes!$A:$A,0),0),INDEX(keycodes!$C:$C,MATCH(N16,keycodes!$A:$A,0),0)),INDEX(keycodes!$C:$C,MATCH(N16,keycodes!$B:$B,0),0)))</f>
        <v>KC_SLSH</v>
      </c>
      <c r="O48" s="43" t="str">
        <f aca="false">IF(O16="",keycodes!$C$2,IF($B$1="Japanese",IF(INDEX(keycodes!$E:$E,MATCH(O16,keycodes!$A:$A,0),0)&lt;&gt;"",INDEX(keycodes!$E:$E,MATCH(O16,keycodes!$A:$A,0),0),INDEX(keycodes!$C:$C,MATCH(O16,keycodes!$A:$A,0),0)),INDEX(keycodes!$C:$C,MATCH(O16,keycodes!$B:$B,0),0)))</f>
        <v>KC_INT1</v>
      </c>
    </row>
    <row r="49" customFormat="false" ht="21" hidden="false" customHeight="true" outlineLevel="0" collapsed="false">
      <c r="A49" s="34"/>
      <c r="B49" s="44" t="str">
        <f aca="false">IF(B17="",keycodes!$C$2,IF($B$1="Japanese",IF(INDEX(keycodes!$E:$E,MATCH(B17,keycodes!$A:$A,0),0)&lt;&gt;"",INDEX(keycodes!$E:$E,MATCH(B17,keycodes!$A:$A,0),0),INDEX(keycodes!$C:$C,MATCH(B17,keycodes!$A:$A,0),0)),INDEX(keycodes!$C:$C,MATCH(B17,keycodes!$B:$B,0),0)))</f>
        <v>NONE</v>
      </c>
      <c r="C49" s="44" t="str">
        <f aca="false">IF(C17="",keycodes!$C$2,IF($B$1="Japanese",IF(INDEX(keycodes!$E:$E,MATCH(C17,keycodes!$A:$A,0),0)&lt;&gt;"",INDEX(keycodes!$E:$E,MATCH(C17,keycodes!$A:$A,0),0),INDEX(keycodes!$C:$C,MATCH(C17,keycodes!$A:$A,0),0)),INDEX(keycodes!$C:$C,MATCH(C17,keycodes!$B:$B,0),0)))</f>
        <v>NONE</v>
      </c>
      <c r="D49" s="44" t="str">
        <f aca="false">IF(D17="",keycodes!$C$2,IF($B$1="Japanese",IF(INDEX(keycodes!$E:$E,MATCH(D17,keycodes!$A:$A,0),0)&lt;&gt;"",INDEX(keycodes!$E:$E,MATCH(D17,keycodes!$A:$A,0),0),INDEX(keycodes!$C:$C,MATCH(D17,keycodes!$A:$A,0),0)),INDEX(keycodes!$C:$C,MATCH(D17,keycodes!$B:$B,0),0)))</f>
        <v>NONE</v>
      </c>
      <c r="E49" s="45" t="str">
        <f aca="false">IF(E17="",keycodes!$C$2,IF($B$1="Japanese",IF(INDEX(keycodes!$E:$E,MATCH(E17,keycodes!$A:$A,0),0)&lt;&gt;"",INDEX(keycodes!$E:$E,MATCH(E17,keycodes!$A:$A,0),0),INDEX(keycodes!$C:$C,MATCH(E17,keycodes!$A:$A,0),0)),INDEX(keycodes!$C:$C,MATCH(E17,keycodes!$B:$B,0),0)))</f>
        <v>_______</v>
      </c>
      <c r="F49" s="45" t="str">
        <f aca="false">IF(F17="",keycodes!$C$2,IF($B$1="Japanese",IF(INDEX(keycodes!$E:$E,MATCH(F17,keycodes!$A:$A,0),0)&lt;&gt;"",INDEX(keycodes!$E:$E,MATCH(F17,keycodes!$A:$A,0),0),INDEX(keycodes!$C:$C,MATCH(F17,keycodes!$A:$A,0),0)),INDEX(keycodes!$C:$C,MATCH(F17,keycodes!$B:$B,0),0)))</f>
        <v>_______</v>
      </c>
      <c r="G49" s="45" t="str">
        <f aca="false">IF(G17="",keycodes!$C$2,IF($B$1="Japanese",IF(INDEX(keycodes!$E:$E,MATCH(G17,keycodes!$A:$A,0),0)&lt;&gt;"",INDEX(keycodes!$E:$E,MATCH(G17,keycodes!$A:$A,0),0),INDEX(keycodes!$C:$C,MATCH(G17,keycodes!$A:$A,0),0)),INDEX(keycodes!$C:$C,MATCH(G17,keycodes!$B:$B,0),0)))</f>
        <v>_______</v>
      </c>
      <c r="H49" s="45" t="str">
        <f aca="false">IF(H17="",keycodes!$C$2,IF($B$1="Japanese",IF(INDEX(keycodes!$E:$E,MATCH(H17,keycodes!$A:$A,0),0)&lt;&gt;"",INDEX(keycodes!$E:$E,MATCH(H17,keycodes!$A:$A,0),0),INDEX(keycodes!$C:$C,MATCH(H17,keycodes!$A:$A,0),0)),INDEX(keycodes!$C:$C,MATCH(H17,keycodes!$B:$B,0),0)))</f>
        <v>_______</v>
      </c>
      <c r="I49" s="45" t="str">
        <f aca="false">IF(I17="",keycodes!$C$2,IF($B$1="Japanese",IF(INDEX(keycodes!$E:$E,MATCH(I17,keycodes!$A:$A,0),0)&lt;&gt;"",INDEX(keycodes!$E:$E,MATCH(I17,keycodes!$A:$A,0),0),INDEX(keycodes!$C:$C,MATCH(I17,keycodes!$A:$A,0),0)),INDEX(keycodes!$C:$C,MATCH(I17,keycodes!$B:$B,0),0)))</f>
        <v>_______</v>
      </c>
      <c r="J49" s="45" t="str">
        <f aca="false">IF(J17="",keycodes!$C$2,IF($B$1="Japanese",IF(INDEX(keycodes!$E:$E,MATCH(J17,keycodes!$A:$A,0),0)&lt;&gt;"",INDEX(keycodes!$E:$E,MATCH(J17,keycodes!$A:$A,0),0),INDEX(keycodes!$C:$C,MATCH(J17,keycodes!$A:$A,0),0)),INDEX(keycodes!$C:$C,MATCH(J17,keycodes!$B:$B,0),0)))</f>
        <v>_______</v>
      </c>
      <c r="K49" s="45" t="str">
        <f aca="false">IF(K17="",keycodes!$C$2,IF($B$1="Japanese",IF(INDEX(keycodes!$E:$E,MATCH(K17,keycodes!$A:$A,0),0)&lt;&gt;"",INDEX(keycodes!$E:$E,MATCH(K17,keycodes!$A:$A,0),0),INDEX(keycodes!$C:$C,MATCH(K17,keycodes!$A:$A,0),0)),INDEX(keycodes!$C:$C,MATCH(K17,keycodes!$B:$B,0),0)))</f>
        <v>_______</v>
      </c>
      <c r="L49" s="45" t="str">
        <f aca="false">IF(L17="",keycodes!$C$2,IF($B$1="Japanese",IF(INDEX(keycodes!$E:$E,MATCH(L17,keycodes!$A:$A,0),0)&lt;&gt;"",INDEX(keycodes!$E:$E,MATCH(L17,keycodes!$A:$A,0),0),INDEX(keycodes!$C:$C,MATCH(L17,keycodes!$A:$A,0),0)),INDEX(keycodes!$C:$C,MATCH(L17,keycodes!$B:$B,0),0)))</f>
        <v>_______</v>
      </c>
      <c r="M49" s="44" t="str">
        <f aca="false">IF(M17="",keycodes!$C$2,IF($B$1="Japanese",IF(INDEX(keycodes!$E:$E,MATCH(M17,keycodes!$A:$A,0),0)&lt;&gt;"",INDEX(keycodes!$E:$E,MATCH(M17,keycodes!$A:$A,0),0),INDEX(keycodes!$C:$C,MATCH(M17,keycodes!$A:$A,0),0)),INDEX(keycodes!$C:$C,MATCH(M17,keycodes!$B:$B,0),0)))</f>
        <v>TERM</v>
      </c>
      <c r="N49" s="44" t="str">
        <f aca="false">IF(N17="",keycodes!$C$2,IF($B$1="Japanese",IF(INDEX(keycodes!$E:$E,MATCH(N17,keycodes!$A:$A,0),0)&lt;&gt;"",INDEX(keycodes!$E:$E,MATCH(N17,keycodes!$A:$A,0),0),INDEX(keycodes!$C:$C,MATCH(N17,keycodes!$A:$A,0),0)),INDEX(keycodes!$C:$C,MATCH(N17,keycodes!$B:$B,0),0)))</f>
        <v>TERM</v>
      </c>
      <c r="O49" s="46" t="str">
        <f aca="false">IF(O17="",keycodes!$C$2,IF($B$1="Japanese",IF(INDEX(keycodes!$E:$E,MATCH(O17,keycodes!$A:$A,0),0)&lt;&gt;"",INDEX(keycodes!$E:$E,MATCH(O17,keycodes!$A:$A,0),0),INDEX(keycodes!$C:$C,MATCH(O17,keycodes!$A:$A,0),0)),INDEX(keycodes!$C:$C,MATCH(O17,keycodes!$B:$B,0),0)))</f>
        <v>TERM</v>
      </c>
    </row>
    <row r="50" customFormat="false" ht="21" hidden="false" customHeight="true" outlineLevel="0" collapsed="false">
      <c r="A50" s="26" t="s">
        <v>319</v>
      </c>
      <c r="B50" s="38" t="str">
        <f aca="false">IF(B18="",keycodes!$C$2,IF($B$1="Japanese",IF(INDEX(keycodes!$E:$E,MATCH(B18,keycodes!$A:$A,0),0)&lt;&gt;"",INDEX(keycodes!$E:$E,MATCH(B18,keycodes!$A:$A,0),0),INDEX(keycodes!$C:$C,MATCH(B18,keycodes!$A:$A,0),0)),INDEX(keycodes!$C:$C,MATCH(B18,keycodes!$B:$B,0),0)))</f>
        <v>KC_ESC</v>
      </c>
      <c r="C50" s="38" t="str">
        <f aca="false">IF(C18="",keycodes!$C$2,IF($B$1="Japanese",IF(INDEX(keycodes!$E:$E,MATCH(C18,keycodes!$A:$A,0),0)&lt;&gt;"",INDEX(keycodes!$E:$E,MATCH(C18,keycodes!$A:$A,0),0),INDEX(keycodes!$C:$C,MATCH(C18,keycodes!$A:$A,0),0)),INDEX(keycodes!$C:$C,MATCH(C18,keycodes!$B:$B,0),0)))</f>
        <v>KC_1</v>
      </c>
      <c r="D50" s="38" t="str">
        <f aca="false">IF(D18="",keycodes!$C$2,IF($B$1="Japanese",IF(INDEX(keycodes!$E:$E,MATCH(D18,keycodes!$A:$A,0),0)&lt;&gt;"",INDEX(keycodes!$E:$E,MATCH(D18,keycodes!$A:$A,0),0),INDEX(keycodes!$C:$C,MATCH(D18,keycodes!$A:$A,0),0)),INDEX(keycodes!$C:$C,MATCH(D18,keycodes!$B:$B,0),0)))</f>
        <v>KC_2</v>
      </c>
      <c r="E50" s="38" t="str">
        <f aca="false">IF(E18="",keycodes!$C$2,IF($B$1="Japanese",IF(INDEX(keycodes!$E:$E,MATCH(E18,keycodes!$A:$A,0),0)&lt;&gt;"",INDEX(keycodes!$E:$E,MATCH(E18,keycodes!$A:$A,0),0),INDEX(keycodes!$C:$C,MATCH(E18,keycodes!$A:$A,0),0)),INDEX(keycodes!$C:$C,MATCH(E18,keycodes!$B:$B,0),0)))</f>
        <v>KC_3</v>
      </c>
      <c r="F50" s="38" t="str">
        <f aca="false">IF(F18="",keycodes!$C$2,IF($B$1="Japanese",IF(INDEX(keycodes!$E:$E,MATCH(F18,keycodes!$A:$A,0),0)&lt;&gt;"",INDEX(keycodes!$E:$E,MATCH(F18,keycodes!$A:$A,0),0),INDEX(keycodes!$C:$C,MATCH(F18,keycodes!$A:$A,0),0)),INDEX(keycodes!$C:$C,MATCH(F18,keycodes!$B:$B,0),0)))</f>
        <v>KC_4</v>
      </c>
      <c r="G50" s="38" t="str">
        <f aca="false">IF(G18="",keycodes!$C$2,IF($B$1="Japanese",IF(INDEX(keycodes!$E:$E,MATCH(G18,keycodes!$A:$A,0),0)&lt;&gt;"",INDEX(keycodes!$E:$E,MATCH(G18,keycodes!$A:$A,0),0),INDEX(keycodes!$C:$C,MATCH(G18,keycodes!$A:$A,0),0)),INDEX(keycodes!$C:$C,MATCH(G18,keycodes!$B:$B,0),0)))</f>
        <v>KC_5</v>
      </c>
      <c r="H50" s="39" t="str">
        <f aca="false">IF(H18="",keycodes!$C$2,IF($B$1="Japanese",IF(INDEX(keycodes!$E:$E,MATCH(H18,keycodes!$A:$A,0),0)&lt;&gt;"",INDEX(keycodes!$E:$E,MATCH(H18,keycodes!$A:$A,0),0),INDEX(keycodes!$C:$C,MATCH(H18,keycodes!$A:$A,0),0)),INDEX(keycodes!$C:$C,MATCH(H18,keycodes!$B:$B,0),0)))</f>
        <v>NONE</v>
      </c>
      <c r="I50" s="39" t="str">
        <f aca="false">IF(I18="",keycodes!$C$2,IF($B$1="Japanese",IF(INDEX(keycodes!$E:$E,MATCH(I18,keycodes!$A:$A,0),0)&lt;&gt;"",INDEX(keycodes!$E:$E,MATCH(I18,keycodes!$A:$A,0),0),INDEX(keycodes!$C:$C,MATCH(I18,keycodes!$A:$A,0),0)),INDEX(keycodes!$C:$C,MATCH(I18,keycodes!$B:$B,0),0)))</f>
        <v>NONE</v>
      </c>
      <c r="J50" s="38" t="str">
        <f aca="false">IF(J18="",keycodes!$C$2,IF($B$1="Japanese",IF(INDEX(keycodes!$E:$E,MATCH(J18,keycodes!$A:$A,0),0)&lt;&gt;"",INDEX(keycodes!$E:$E,MATCH(J18,keycodes!$A:$A,0),0),INDEX(keycodes!$C:$C,MATCH(J18,keycodes!$A:$A,0),0)),INDEX(keycodes!$C:$C,MATCH(J18,keycodes!$B:$B,0),0)))</f>
        <v>KC_6</v>
      </c>
      <c r="K50" s="38" t="str">
        <f aca="false">IF(K18="",keycodes!$C$2,IF($B$1="Japanese",IF(INDEX(keycodes!$E:$E,MATCH(K18,keycodes!$A:$A,0),0)&lt;&gt;"",INDEX(keycodes!$E:$E,MATCH(K18,keycodes!$A:$A,0),0),INDEX(keycodes!$C:$C,MATCH(K18,keycodes!$A:$A,0),0)),INDEX(keycodes!$C:$C,MATCH(K18,keycodes!$B:$B,0),0)))</f>
        <v>KC_7</v>
      </c>
      <c r="L50" s="38" t="str">
        <f aca="false">IF(L18="",keycodes!$C$2,IF($B$1="Japanese",IF(INDEX(keycodes!$E:$E,MATCH(L18,keycodes!$A:$A,0),0)&lt;&gt;"",INDEX(keycodes!$E:$E,MATCH(L18,keycodes!$A:$A,0),0),INDEX(keycodes!$C:$C,MATCH(L18,keycodes!$A:$A,0),0)),INDEX(keycodes!$C:$C,MATCH(L18,keycodes!$B:$B,0),0)))</f>
        <v>KC_8</v>
      </c>
      <c r="M50" s="38" t="str">
        <f aca="false">IF(M18="",keycodes!$C$2,IF($B$1="Japanese",IF(INDEX(keycodes!$E:$E,MATCH(M18,keycodes!$A:$A,0),0)&lt;&gt;"",INDEX(keycodes!$E:$E,MATCH(M18,keycodes!$A:$A,0),0),INDEX(keycodes!$C:$C,MATCH(M18,keycodes!$A:$A,0),0)),INDEX(keycodes!$C:$C,MATCH(M18,keycodes!$B:$B,0),0)))</f>
        <v>KC_9</v>
      </c>
      <c r="N50" s="38" t="str">
        <f aca="false">IF(N18="",keycodes!$C$2,IF($B$1="Japanese",IF(INDEX(keycodes!$E:$E,MATCH(N18,keycodes!$A:$A,0),0)&lt;&gt;"",INDEX(keycodes!$E:$E,MATCH(N18,keycodes!$A:$A,0),0),INDEX(keycodes!$C:$C,MATCH(N18,keycodes!$A:$A,0),0)),INDEX(keycodes!$C:$C,MATCH(N18,keycodes!$B:$B,0),0)))</f>
        <v>KC_0</v>
      </c>
      <c r="O50" s="40" t="str">
        <f aca="false">IF(O18="",keycodes!$C$2,IF($B$1="Japanese",IF(INDEX(keycodes!$E:$E,MATCH(O18,keycodes!$A:$A,0),0)&lt;&gt;"",INDEX(keycodes!$E:$E,MATCH(O18,keycodes!$A:$A,0),0),INDEX(keycodes!$C:$C,MATCH(O18,keycodes!$A:$A,0),0)),INDEX(keycodes!$C:$C,MATCH(O18,keycodes!$B:$B,0),0)))</f>
        <v>KC_MINS</v>
      </c>
    </row>
    <row r="51" customFormat="false" ht="21" hidden="false" customHeight="true" outlineLevel="0" collapsed="false">
      <c r="A51" s="30"/>
      <c r="B51" s="41" t="str">
        <f aca="false">IF(B19="",keycodes!$C$2,IF($B$1="Japanese",IF(INDEX(keycodes!$E:$E,MATCH(B19,keycodes!$A:$A,0),0)&lt;&gt;"",INDEX(keycodes!$E:$E,MATCH(B19,keycodes!$A:$A,0),0),INDEX(keycodes!$C:$C,MATCH(B19,keycodes!$A:$A,0),0)),INDEX(keycodes!$C:$C,MATCH(B19,keycodes!$B:$B,0),0)))</f>
        <v>KC_TAB</v>
      </c>
      <c r="C51" s="41" t="str">
        <f aca="false">IF(C19="",keycodes!$C$2,IF($B$1="Japanese",IF(INDEX(keycodes!$E:$E,MATCH(C19,keycodes!$A:$A,0),0)&lt;&gt;"",INDEX(keycodes!$E:$E,MATCH(C19,keycodes!$A:$A,0),0),INDEX(keycodes!$C:$C,MATCH(C19,keycodes!$A:$A,0),0)),INDEX(keycodes!$C:$C,MATCH(C19,keycodes!$B:$B,0),0)))</f>
        <v>KC_Q</v>
      </c>
      <c r="D51" s="41" t="str">
        <f aca="false">IF(D19="",keycodes!$C$2,IF($B$1="Japanese",IF(INDEX(keycodes!$E:$E,MATCH(D19,keycodes!$A:$A,0),0)&lt;&gt;"",INDEX(keycodes!$E:$E,MATCH(D19,keycodes!$A:$A,0),0),INDEX(keycodes!$C:$C,MATCH(D19,keycodes!$A:$A,0),0)),INDEX(keycodes!$C:$C,MATCH(D19,keycodes!$B:$B,0),0)))</f>
        <v>KC_W</v>
      </c>
      <c r="E51" s="41" t="str">
        <f aca="false">IF(E19="",keycodes!$C$2,IF($B$1="Japanese",IF(INDEX(keycodes!$E:$E,MATCH(E19,keycodes!$A:$A,0),0)&lt;&gt;"",INDEX(keycodes!$E:$E,MATCH(E19,keycodes!$A:$A,0),0),INDEX(keycodes!$C:$C,MATCH(E19,keycodes!$A:$A,0),0)),INDEX(keycodes!$C:$C,MATCH(E19,keycodes!$B:$B,0),0)))</f>
        <v>KC_E</v>
      </c>
      <c r="F51" s="41" t="str">
        <f aca="false">IF(F19="",keycodes!$C$2,IF($B$1="Japanese",IF(INDEX(keycodes!$E:$E,MATCH(F19,keycodes!$A:$A,0),0)&lt;&gt;"",INDEX(keycodes!$E:$E,MATCH(F19,keycodes!$A:$A,0),0),INDEX(keycodes!$C:$C,MATCH(F19,keycodes!$A:$A,0),0)),INDEX(keycodes!$C:$C,MATCH(F19,keycodes!$B:$B,0),0)))</f>
        <v>KC_R</v>
      </c>
      <c r="G51" s="41" t="str">
        <f aca="false">IF(G19="",keycodes!$C$2,IF($B$1="Japanese",IF(INDEX(keycodes!$E:$E,MATCH(G19,keycodes!$A:$A,0),0)&lt;&gt;"",INDEX(keycodes!$E:$E,MATCH(G19,keycodes!$A:$A,0),0),INDEX(keycodes!$C:$C,MATCH(G19,keycodes!$A:$A,0),0)),INDEX(keycodes!$C:$C,MATCH(G19,keycodes!$B:$B,0),0)))</f>
        <v>KC_T</v>
      </c>
      <c r="H51" s="42" t="str">
        <f aca="false">IF(H19="",keycodes!$C$2,IF($B$1="Japanese",IF(INDEX(keycodes!$E:$E,MATCH(H19,keycodes!$A:$A,0),0)&lt;&gt;"",INDEX(keycodes!$E:$E,MATCH(H19,keycodes!$A:$A,0),0),INDEX(keycodes!$C:$C,MATCH(H19,keycodes!$A:$A,0),0)),INDEX(keycodes!$C:$C,MATCH(H19,keycodes!$B:$B,0),0)))</f>
        <v>NONE</v>
      </c>
      <c r="I51" s="42" t="str">
        <f aca="false">IF(I19="",keycodes!$C$2,IF($B$1="Japanese",IF(INDEX(keycodes!$E:$E,MATCH(I19,keycodes!$A:$A,0),0)&lt;&gt;"",INDEX(keycodes!$E:$E,MATCH(I19,keycodes!$A:$A,0),0),INDEX(keycodes!$C:$C,MATCH(I19,keycodes!$A:$A,0),0)),INDEX(keycodes!$C:$C,MATCH(I19,keycodes!$B:$B,0),0)))</f>
        <v>NONE</v>
      </c>
      <c r="J51" s="41" t="str">
        <f aca="false">IF(J19="",keycodes!$C$2,IF($B$1="Japanese",IF(INDEX(keycodes!$E:$E,MATCH(J19,keycodes!$A:$A,0),0)&lt;&gt;"",INDEX(keycodes!$E:$E,MATCH(J19,keycodes!$A:$A,0),0),INDEX(keycodes!$C:$C,MATCH(J19,keycodes!$A:$A,0),0)),INDEX(keycodes!$C:$C,MATCH(J19,keycodes!$B:$B,0),0)))</f>
        <v>KC_Y</v>
      </c>
      <c r="K51" s="41" t="str">
        <f aca="false">IF(K19="",keycodes!$C$2,IF($B$1="Japanese",IF(INDEX(keycodes!$E:$E,MATCH(K19,keycodes!$A:$A,0),0)&lt;&gt;"",INDEX(keycodes!$E:$E,MATCH(K19,keycodes!$A:$A,0),0),INDEX(keycodes!$C:$C,MATCH(K19,keycodes!$A:$A,0),0)),INDEX(keycodes!$C:$C,MATCH(K19,keycodes!$B:$B,0),0)))</f>
        <v>KC_U</v>
      </c>
      <c r="L51" s="41" t="str">
        <f aca="false">IF(L19="",keycodes!$C$2,IF($B$1="Japanese",IF(INDEX(keycodes!$E:$E,MATCH(L19,keycodes!$A:$A,0),0)&lt;&gt;"",INDEX(keycodes!$E:$E,MATCH(L19,keycodes!$A:$A,0),0),INDEX(keycodes!$C:$C,MATCH(L19,keycodes!$A:$A,0),0)),INDEX(keycodes!$C:$C,MATCH(L19,keycodes!$B:$B,0),0)))</f>
        <v>KC_I</v>
      </c>
      <c r="M51" s="41" t="str">
        <f aca="false">IF(M19="",keycodes!$C$2,IF($B$1="Japanese",IF(INDEX(keycodes!$E:$E,MATCH(M19,keycodes!$A:$A,0),0)&lt;&gt;"",INDEX(keycodes!$E:$E,MATCH(M19,keycodes!$A:$A,0),0),INDEX(keycodes!$C:$C,MATCH(M19,keycodes!$A:$A,0),0)),INDEX(keycodes!$C:$C,MATCH(M19,keycodes!$B:$B,0),0)))</f>
        <v>KC_O</v>
      </c>
      <c r="N51" s="41" t="str">
        <f aca="false">IF(N19="",keycodes!$C$2,IF($B$1="Japanese",IF(INDEX(keycodes!$E:$E,MATCH(N19,keycodes!$A:$A,0),0)&lt;&gt;"",INDEX(keycodes!$E:$E,MATCH(N19,keycodes!$A:$A,0),0),INDEX(keycodes!$C:$C,MATCH(N19,keycodes!$A:$A,0),0)),INDEX(keycodes!$C:$C,MATCH(N19,keycodes!$B:$B,0),0)))</f>
        <v>KC_P</v>
      </c>
      <c r="O51" s="43" t="str">
        <f aca="false">IF(O19="",keycodes!$C$2,IF($B$1="Japanese",IF(INDEX(keycodes!$E:$E,MATCH(O19,keycodes!$A:$A,0),0)&lt;&gt;"",INDEX(keycodes!$E:$E,MATCH(O19,keycodes!$A:$A,0),0),INDEX(keycodes!$C:$C,MATCH(O19,keycodes!$A:$A,0),0)),INDEX(keycodes!$C:$C,MATCH(O19,keycodes!$B:$B,0),0)))</f>
        <v>KC_LBRC</v>
      </c>
    </row>
    <row r="52" customFormat="false" ht="21" hidden="false" customHeight="true" outlineLevel="0" collapsed="false">
      <c r="A52" s="30"/>
      <c r="B52" s="41" t="str">
        <f aca="false">IF(B20="",keycodes!$C$2,IF($B$1="Japanese",IF(INDEX(keycodes!$E:$E,MATCH(B20,keycodes!$A:$A,0),0)&lt;&gt;"",INDEX(keycodes!$E:$E,MATCH(B20,keycodes!$A:$A,0),0),INDEX(keycodes!$C:$C,MATCH(B20,keycodes!$A:$A,0),0)),INDEX(keycodes!$C:$C,MATCH(B20,keycodes!$B:$B,0),0)))</f>
        <v>KC_LCTL</v>
      </c>
      <c r="C52" s="41" t="str">
        <f aca="false">IF(C20="",keycodes!$C$2,IF($B$1="Japanese",IF(INDEX(keycodes!$E:$E,MATCH(C20,keycodes!$A:$A,0),0)&lt;&gt;"",INDEX(keycodes!$E:$E,MATCH(C20,keycodes!$A:$A,0),0),INDEX(keycodes!$C:$C,MATCH(C20,keycodes!$A:$A,0),0)),INDEX(keycodes!$C:$C,MATCH(C20,keycodes!$B:$B,0),0)))</f>
        <v>KC_A</v>
      </c>
      <c r="D52" s="41" t="str">
        <f aca="false">IF(D20="",keycodes!$C$2,IF($B$1="Japanese",IF(INDEX(keycodes!$E:$E,MATCH(D20,keycodes!$A:$A,0),0)&lt;&gt;"",INDEX(keycodes!$E:$E,MATCH(D20,keycodes!$A:$A,0),0),INDEX(keycodes!$C:$C,MATCH(D20,keycodes!$A:$A,0),0)),INDEX(keycodes!$C:$C,MATCH(D20,keycodes!$B:$B,0),0)))</f>
        <v>KC_S</v>
      </c>
      <c r="E52" s="41" t="str">
        <f aca="false">IF(E20="",keycodes!$C$2,IF($B$1="Japanese",IF(INDEX(keycodes!$E:$E,MATCH(E20,keycodes!$A:$A,0),0)&lt;&gt;"",INDEX(keycodes!$E:$E,MATCH(E20,keycodes!$A:$A,0),0),INDEX(keycodes!$C:$C,MATCH(E20,keycodes!$A:$A,0),0)),INDEX(keycodes!$C:$C,MATCH(E20,keycodes!$B:$B,0),0)))</f>
        <v>KC_D</v>
      </c>
      <c r="F52" s="41" t="str">
        <f aca="false">IF(F20="",keycodes!$C$2,IF($B$1="Japanese",IF(INDEX(keycodes!$E:$E,MATCH(F20,keycodes!$A:$A,0),0)&lt;&gt;"",INDEX(keycodes!$E:$E,MATCH(F20,keycodes!$A:$A,0),0),INDEX(keycodes!$C:$C,MATCH(F20,keycodes!$A:$A,0),0)),INDEX(keycodes!$C:$C,MATCH(F20,keycodes!$B:$B,0),0)))</f>
        <v>KC_F</v>
      </c>
      <c r="G52" s="41" t="str">
        <f aca="false">IF(G20="",keycodes!$C$2,IF($B$1="Japanese",IF(INDEX(keycodes!$E:$E,MATCH(G20,keycodes!$A:$A,0),0)&lt;&gt;"",INDEX(keycodes!$E:$E,MATCH(G20,keycodes!$A:$A,0),0),INDEX(keycodes!$C:$C,MATCH(G20,keycodes!$A:$A,0),0)),INDEX(keycodes!$C:$C,MATCH(G20,keycodes!$B:$B,0),0)))</f>
        <v>KC_G</v>
      </c>
      <c r="H52" s="42" t="str">
        <f aca="false">IF(H20="",keycodes!$C$2,IF($B$1="Japanese",IF(INDEX(keycodes!$E:$E,MATCH(H20,keycodes!$A:$A,0),0)&lt;&gt;"",INDEX(keycodes!$E:$E,MATCH(H20,keycodes!$A:$A,0),0),INDEX(keycodes!$C:$C,MATCH(H20,keycodes!$A:$A,0),0)),INDEX(keycodes!$C:$C,MATCH(H20,keycodes!$B:$B,0),0)))</f>
        <v>NONE</v>
      </c>
      <c r="I52" s="42" t="str">
        <f aca="false">IF(I20="",keycodes!$C$2,IF($B$1="Japanese",IF(INDEX(keycodes!$E:$E,MATCH(I20,keycodes!$A:$A,0),0)&lt;&gt;"",INDEX(keycodes!$E:$E,MATCH(I20,keycodes!$A:$A,0),0),INDEX(keycodes!$C:$C,MATCH(I20,keycodes!$A:$A,0),0)),INDEX(keycodes!$C:$C,MATCH(I20,keycodes!$B:$B,0),0)))</f>
        <v>NONE</v>
      </c>
      <c r="J52" s="41" t="str">
        <f aca="false">IF(J20="",keycodes!$C$2,IF($B$1="Japanese",IF(INDEX(keycodes!$E:$E,MATCH(J20,keycodes!$A:$A,0),0)&lt;&gt;"",INDEX(keycodes!$E:$E,MATCH(J20,keycodes!$A:$A,0),0),INDEX(keycodes!$C:$C,MATCH(J20,keycodes!$A:$A,0),0)),INDEX(keycodes!$C:$C,MATCH(J20,keycodes!$B:$B,0),0)))</f>
        <v>KC_H</v>
      </c>
      <c r="K52" s="41" t="str">
        <f aca="false">IF(K20="",keycodes!$C$2,IF($B$1="Japanese",IF(INDEX(keycodes!$E:$E,MATCH(K20,keycodes!$A:$A,0),0)&lt;&gt;"",INDEX(keycodes!$E:$E,MATCH(K20,keycodes!$A:$A,0),0),INDEX(keycodes!$C:$C,MATCH(K20,keycodes!$A:$A,0),0)),INDEX(keycodes!$C:$C,MATCH(K20,keycodes!$B:$B,0),0)))</f>
        <v>KC_J</v>
      </c>
      <c r="L52" s="41" t="str">
        <f aca="false">IF(L20="",keycodes!$C$2,IF($B$1="Japanese",IF(INDEX(keycodes!$E:$E,MATCH(L20,keycodes!$A:$A,0),0)&lt;&gt;"",INDEX(keycodes!$E:$E,MATCH(L20,keycodes!$A:$A,0),0),INDEX(keycodes!$C:$C,MATCH(L20,keycodes!$A:$A,0),0)),INDEX(keycodes!$C:$C,MATCH(L20,keycodes!$B:$B,0),0)))</f>
        <v>KC_K</v>
      </c>
      <c r="M52" s="41" t="str">
        <f aca="false">IF(M20="",keycodes!$C$2,IF($B$1="Japanese",IF(INDEX(keycodes!$E:$E,MATCH(M20,keycodes!$A:$A,0),0)&lt;&gt;"",INDEX(keycodes!$E:$E,MATCH(M20,keycodes!$A:$A,0),0),INDEX(keycodes!$C:$C,MATCH(M20,keycodes!$A:$A,0),0)),INDEX(keycodes!$C:$C,MATCH(M20,keycodes!$B:$B,0),0)))</f>
        <v>KC_L</v>
      </c>
      <c r="N52" s="41" t="str">
        <f aca="false">IF(N20="",keycodes!$C$2,IF($B$1="Japanese",IF(INDEX(keycodes!$E:$E,MATCH(N20,keycodes!$A:$A,0),0)&lt;&gt;"",INDEX(keycodes!$E:$E,MATCH(N20,keycodes!$A:$A,0),0),INDEX(keycodes!$C:$C,MATCH(N20,keycodes!$A:$A,0),0)),INDEX(keycodes!$C:$C,MATCH(N20,keycodes!$B:$B,0),0)))</f>
        <v>KC_SCLN</v>
      </c>
      <c r="O52" s="43" t="str">
        <f aca="false">IF(O20="",keycodes!$C$2,IF($B$1="Japanese",IF(INDEX(keycodes!$E:$E,MATCH(O20,keycodes!$A:$A,0),0)&lt;&gt;"",INDEX(keycodes!$E:$E,MATCH(O20,keycodes!$A:$A,0),0),INDEX(keycodes!$C:$C,MATCH(O20,keycodes!$A:$A,0),0)),INDEX(keycodes!$C:$C,MATCH(O20,keycodes!$B:$B,0),0)))</f>
        <v>KC_QUOT</v>
      </c>
    </row>
    <row r="53" customFormat="false" ht="21" hidden="false" customHeight="true" outlineLevel="0" collapsed="false">
      <c r="A53" s="30"/>
      <c r="B53" s="41" t="str">
        <f aca="false">IF(B21="",keycodes!$C$2,IF($B$1="Japanese",IF(INDEX(keycodes!$E:$E,MATCH(B21,keycodes!$A:$A,0),0)&lt;&gt;"",INDEX(keycodes!$E:$E,MATCH(B21,keycodes!$A:$A,0),0),INDEX(keycodes!$C:$C,MATCH(B21,keycodes!$A:$A,0),0)),INDEX(keycodes!$C:$C,MATCH(B21,keycodes!$B:$B,0),0)))</f>
        <v>KC_LSFT</v>
      </c>
      <c r="C53" s="41" t="str">
        <f aca="false">IF(C21="",keycodes!$C$2,IF($B$1="Japanese",IF(INDEX(keycodes!$E:$E,MATCH(C21,keycodes!$A:$A,0),0)&lt;&gt;"",INDEX(keycodes!$E:$E,MATCH(C21,keycodes!$A:$A,0),0),INDEX(keycodes!$C:$C,MATCH(C21,keycodes!$A:$A,0),0)),INDEX(keycodes!$C:$C,MATCH(C21,keycodes!$B:$B,0),0)))</f>
        <v>KC_Z</v>
      </c>
      <c r="D53" s="41" t="str">
        <f aca="false">IF(D21="",keycodes!$C$2,IF($B$1="Japanese",IF(INDEX(keycodes!$E:$E,MATCH(D21,keycodes!$A:$A,0),0)&lt;&gt;"",INDEX(keycodes!$E:$E,MATCH(D21,keycodes!$A:$A,0),0),INDEX(keycodes!$C:$C,MATCH(D21,keycodes!$A:$A,0),0)),INDEX(keycodes!$C:$C,MATCH(D21,keycodes!$B:$B,0),0)))</f>
        <v>KC_X</v>
      </c>
      <c r="E53" s="41" t="str">
        <f aca="false">IF(E21="",keycodes!$C$2,IF($B$1="Japanese",IF(INDEX(keycodes!$E:$E,MATCH(E21,keycodes!$A:$A,0),0)&lt;&gt;"",INDEX(keycodes!$E:$E,MATCH(E21,keycodes!$A:$A,0),0),INDEX(keycodes!$C:$C,MATCH(E21,keycodes!$A:$A,0),0)),INDEX(keycodes!$C:$C,MATCH(E21,keycodes!$B:$B,0),0)))</f>
        <v>KC_C</v>
      </c>
      <c r="F53" s="41" t="str">
        <f aca="false">IF(F21="",keycodes!$C$2,IF($B$1="Japanese",IF(INDEX(keycodes!$E:$E,MATCH(F21,keycodes!$A:$A,0),0)&lt;&gt;"",INDEX(keycodes!$E:$E,MATCH(F21,keycodes!$A:$A,0),0),INDEX(keycodes!$C:$C,MATCH(F21,keycodes!$A:$A,0),0)),INDEX(keycodes!$C:$C,MATCH(F21,keycodes!$B:$B,0),0)))</f>
        <v>KC_V</v>
      </c>
      <c r="G53" s="41" t="str">
        <f aca="false">IF(G21="",keycodes!$C$2,IF($B$1="Japanese",IF(INDEX(keycodes!$E:$E,MATCH(G21,keycodes!$A:$A,0),0)&lt;&gt;"",INDEX(keycodes!$E:$E,MATCH(G21,keycodes!$A:$A,0),0),INDEX(keycodes!$C:$C,MATCH(G21,keycodes!$A:$A,0),0)),INDEX(keycodes!$C:$C,MATCH(G21,keycodes!$B:$B,0),0)))</f>
        <v>KC_B</v>
      </c>
      <c r="H53" s="41" t="str">
        <f aca="false">IF(H21="",keycodes!$C$2,IF($B$1="Japanese",IF(INDEX(keycodes!$E:$E,MATCH(H21,keycodes!$A:$A,0),0)&lt;&gt;"",INDEX(keycodes!$E:$E,MATCH(H21,keycodes!$A:$A,0),0),INDEX(keycodes!$C:$C,MATCH(H21,keycodes!$A:$A,0),0)),INDEX(keycodes!$C:$C,MATCH(H21,keycodes!$B:$B,0),0)))</f>
        <v>_______</v>
      </c>
      <c r="I53" s="41" t="str">
        <f aca="false">IF(I21="",keycodes!$C$2,IF($B$1="Japanese",IF(INDEX(keycodes!$E:$E,MATCH(I21,keycodes!$A:$A,0),0)&lt;&gt;"",INDEX(keycodes!$E:$E,MATCH(I21,keycodes!$A:$A,0),0),INDEX(keycodes!$C:$C,MATCH(I21,keycodes!$A:$A,0),0)),INDEX(keycodes!$C:$C,MATCH(I21,keycodes!$B:$B,0),0)))</f>
        <v>_______</v>
      </c>
      <c r="J53" s="41" t="str">
        <f aca="false">IF(J21="",keycodes!$C$2,IF($B$1="Japanese",IF(INDEX(keycodes!$E:$E,MATCH(J21,keycodes!$A:$A,0),0)&lt;&gt;"",INDEX(keycodes!$E:$E,MATCH(J21,keycodes!$A:$A,0),0),INDEX(keycodes!$C:$C,MATCH(J21,keycodes!$A:$A,0),0)),INDEX(keycodes!$C:$C,MATCH(J21,keycodes!$B:$B,0),0)))</f>
        <v>KC_N</v>
      </c>
      <c r="K53" s="41" t="str">
        <f aca="false">IF(K21="",keycodes!$C$2,IF($B$1="Japanese",IF(INDEX(keycodes!$E:$E,MATCH(K21,keycodes!$A:$A,0),0)&lt;&gt;"",INDEX(keycodes!$E:$E,MATCH(K21,keycodes!$A:$A,0),0),INDEX(keycodes!$C:$C,MATCH(K21,keycodes!$A:$A,0),0)),INDEX(keycodes!$C:$C,MATCH(K21,keycodes!$B:$B,0),0)))</f>
        <v>KC_M</v>
      </c>
      <c r="L53" s="41" t="str">
        <f aca="false">IF(L21="",keycodes!$C$2,IF($B$1="Japanese",IF(INDEX(keycodes!$E:$E,MATCH(L21,keycodes!$A:$A,0),0)&lt;&gt;"",INDEX(keycodes!$E:$E,MATCH(L21,keycodes!$A:$A,0),0),INDEX(keycodes!$C:$C,MATCH(L21,keycodes!$A:$A,0),0)),INDEX(keycodes!$C:$C,MATCH(L21,keycodes!$B:$B,0),0)))</f>
        <v>_______</v>
      </c>
      <c r="M53" s="41" t="str">
        <f aca="false">IF(M21="",keycodes!$C$2,IF($B$1="Japanese",IF(INDEX(keycodes!$E:$E,MATCH(M21,keycodes!$A:$A,0),0)&lt;&gt;"",INDEX(keycodes!$E:$E,MATCH(M21,keycodes!$A:$A,0),0),INDEX(keycodes!$C:$C,MATCH(M21,keycodes!$A:$A,0),0)),INDEX(keycodes!$C:$C,MATCH(M21,keycodes!$B:$B,0),0)))</f>
        <v>_______</v>
      </c>
      <c r="N53" s="41" t="str">
        <f aca="false">IF(N21="",keycodes!$C$2,IF($B$1="Japanese",IF(INDEX(keycodes!$E:$E,MATCH(N21,keycodes!$A:$A,0),0)&lt;&gt;"",INDEX(keycodes!$E:$E,MATCH(N21,keycodes!$A:$A,0),0),INDEX(keycodes!$C:$C,MATCH(N21,keycodes!$A:$A,0),0)),INDEX(keycodes!$C:$C,MATCH(N21,keycodes!$B:$B,0),0)))</f>
        <v>_______</v>
      </c>
      <c r="O53" s="43" t="str">
        <f aca="false">IF(O21="",keycodes!$C$2,IF($B$1="Japanese",IF(INDEX(keycodes!$E:$E,MATCH(O21,keycodes!$A:$A,0),0)&lt;&gt;"",INDEX(keycodes!$E:$E,MATCH(O21,keycodes!$A:$A,0),0),INDEX(keycodes!$C:$C,MATCH(O21,keycodes!$A:$A,0),0)),INDEX(keycodes!$C:$C,MATCH(O21,keycodes!$B:$B,0),0)))</f>
        <v>_______</v>
      </c>
    </row>
    <row r="54" customFormat="false" ht="21" hidden="false" customHeight="true" outlineLevel="0" collapsed="false">
      <c r="A54" s="34"/>
      <c r="B54" s="44" t="str">
        <f aca="false">IF(B22="",keycodes!$C$2,IF($B$1="Japanese",IF(INDEX(keycodes!$E:$E,MATCH(B22,keycodes!$A:$A,0),0)&lt;&gt;"",INDEX(keycodes!$E:$E,MATCH(B22,keycodes!$A:$A,0),0),INDEX(keycodes!$C:$C,MATCH(B22,keycodes!$A:$A,0),0)),INDEX(keycodes!$C:$C,MATCH(B22,keycodes!$B:$B,0),0)))</f>
        <v>NONE</v>
      </c>
      <c r="C54" s="44" t="str">
        <f aca="false">IF(C22="",keycodes!$C$2,IF($B$1="Japanese",IF(INDEX(keycodes!$E:$E,MATCH(C22,keycodes!$A:$A,0),0)&lt;&gt;"",INDEX(keycodes!$E:$E,MATCH(C22,keycodes!$A:$A,0),0),INDEX(keycodes!$C:$C,MATCH(C22,keycodes!$A:$A,0),0)),INDEX(keycodes!$C:$C,MATCH(C22,keycodes!$B:$B,0),0)))</f>
        <v>NONE</v>
      </c>
      <c r="D54" s="44" t="str">
        <f aca="false">IF(D22="",keycodes!$C$2,IF($B$1="Japanese",IF(INDEX(keycodes!$E:$E,MATCH(D22,keycodes!$A:$A,0),0)&lt;&gt;"",INDEX(keycodes!$E:$E,MATCH(D22,keycodes!$A:$A,0),0),INDEX(keycodes!$C:$C,MATCH(D22,keycodes!$A:$A,0),0)),INDEX(keycodes!$C:$C,MATCH(D22,keycodes!$B:$B,0),0)))</f>
        <v>NONE</v>
      </c>
      <c r="E54" s="45" t="str">
        <f aca="false">IF(E22="",keycodes!$C$2,IF($B$1="Japanese",IF(INDEX(keycodes!$E:$E,MATCH(E22,keycodes!$A:$A,0),0)&lt;&gt;"",INDEX(keycodes!$E:$E,MATCH(E22,keycodes!$A:$A,0),0),INDEX(keycodes!$C:$C,MATCH(E22,keycodes!$A:$A,0),0)),INDEX(keycodes!$C:$C,MATCH(E22,keycodes!$B:$B,0),0)))</f>
        <v>_______</v>
      </c>
      <c r="F54" s="45" t="str">
        <f aca="false">IF(F22="",keycodes!$C$2,IF($B$1="Japanese",IF(INDEX(keycodes!$E:$E,MATCH(F22,keycodes!$A:$A,0),0)&lt;&gt;"",INDEX(keycodes!$E:$E,MATCH(F22,keycodes!$A:$A,0),0),INDEX(keycodes!$C:$C,MATCH(F22,keycodes!$A:$A,0),0)),INDEX(keycodes!$C:$C,MATCH(F22,keycodes!$B:$B,0),0)))</f>
        <v>TG_R</v>
      </c>
      <c r="G54" s="45" t="str">
        <f aca="false">IF(G22="",keycodes!$C$2,IF($B$1="Japanese",IF(INDEX(keycodes!$E:$E,MATCH(G22,keycodes!$A:$A,0),0)&lt;&gt;"",INDEX(keycodes!$E:$E,MATCH(G22,keycodes!$A:$A,0),0),INDEX(keycodes!$C:$C,MATCH(G22,keycodes!$A:$A,0),0)),INDEX(keycodes!$C:$C,MATCH(G22,keycodes!$B:$B,0),0)))</f>
        <v>KC_SPC</v>
      </c>
      <c r="H54" s="45" t="str">
        <f aca="false">IF(H22="",keycodes!$C$2,IF($B$1="Japanese",IF(INDEX(keycodes!$E:$E,MATCH(H22,keycodes!$A:$A,0),0)&lt;&gt;"",INDEX(keycodes!$E:$E,MATCH(H22,keycodes!$A:$A,0),0),INDEX(keycodes!$C:$C,MATCH(H22,keycodes!$A:$A,0),0)),INDEX(keycodes!$C:$C,MATCH(H22,keycodes!$B:$B,0),0)))</f>
        <v>MO_RA</v>
      </c>
      <c r="I54" s="45" t="str">
        <f aca="false">IF(I22="",keycodes!$C$2,IF($B$1="Japanese",IF(INDEX(keycodes!$E:$E,MATCH(I22,keycodes!$A:$A,0),0)&lt;&gt;"",INDEX(keycodes!$E:$E,MATCH(I22,keycodes!$A:$A,0),0),INDEX(keycodes!$C:$C,MATCH(I22,keycodes!$A:$A,0),0)),INDEX(keycodes!$C:$C,MATCH(I22,keycodes!$B:$B,0),0)))</f>
        <v>MO_LA</v>
      </c>
      <c r="J54" s="45" t="str">
        <f aca="false">IF(J22="",keycodes!$C$2,IF($B$1="Japanese",IF(INDEX(keycodes!$E:$E,MATCH(J22,keycodes!$A:$A,0),0)&lt;&gt;"",INDEX(keycodes!$E:$E,MATCH(J22,keycodes!$A:$A,0),0),INDEX(keycodes!$C:$C,MATCH(J22,keycodes!$A:$A,0),0)),INDEX(keycodes!$C:$C,MATCH(J22,keycodes!$B:$B,0),0)))</f>
        <v>KC_ENT</v>
      </c>
      <c r="K54" s="45" t="str">
        <f aca="false">IF(K22="",keycodes!$C$2,IF($B$1="Japanese",IF(INDEX(keycodes!$E:$E,MATCH(K22,keycodes!$A:$A,0),0)&lt;&gt;"",INDEX(keycodes!$E:$E,MATCH(K22,keycodes!$A:$A,0),0),INDEX(keycodes!$C:$C,MATCH(K22,keycodes!$A:$A,0),0)),INDEX(keycodes!$C:$C,MATCH(K22,keycodes!$B:$B,0),0)))</f>
        <v>TG_L</v>
      </c>
      <c r="L54" s="45" t="str">
        <f aca="false">IF(L22="",keycodes!$C$2,IF($B$1="Japanese",IF(INDEX(keycodes!$E:$E,MATCH(L22,keycodes!$A:$A,0),0)&lt;&gt;"",INDEX(keycodes!$E:$E,MATCH(L22,keycodes!$A:$A,0),0),INDEX(keycodes!$C:$C,MATCH(L22,keycodes!$A:$A,0),0)),INDEX(keycodes!$C:$C,MATCH(L22,keycodes!$B:$B,0),0)))</f>
        <v>_______</v>
      </c>
      <c r="M54" s="44" t="str">
        <f aca="false">IF(M22="",keycodes!$C$2,IF($B$1="Japanese",IF(INDEX(keycodes!$E:$E,MATCH(M22,keycodes!$A:$A,0),0)&lt;&gt;"",INDEX(keycodes!$E:$E,MATCH(M22,keycodes!$A:$A,0),0),INDEX(keycodes!$C:$C,MATCH(M22,keycodes!$A:$A,0),0)),INDEX(keycodes!$C:$C,MATCH(M22,keycodes!$B:$B,0),0)))</f>
        <v>TERM</v>
      </c>
      <c r="N54" s="44" t="str">
        <f aca="false">IF(N22="",keycodes!$C$2,IF($B$1="Japanese",IF(INDEX(keycodes!$E:$E,MATCH(N22,keycodes!$A:$A,0),0)&lt;&gt;"",INDEX(keycodes!$E:$E,MATCH(N22,keycodes!$A:$A,0),0),INDEX(keycodes!$C:$C,MATCH(N22,keycodes!$A:$A,0),0)),INDEX(keycodes!$C:$C,MATCH(N22,keycodes!$B:$B,0),0)))</f>
        <v>TERM</v>
      </c>
      <c r="O54" s="46" t="str">
        <f aca="false">IF(O22="",keycodes!$C$2,IF($B$1="Japanese",IF(INDEX(keycodes!$E:$E,MATCH(O22,keycodes!$A:$A,0),0)&lt;&gt;"",INDEX(keycodes!$E:$E,MATCH(O22,keycodes!$A:$A,0),0),INDEX(keycodes!$C:$C,MATCH(O22,keycodes!$A:$A,0),0)),INDEX(keycodes!$C:$C,MATCH(O22,keycodes!$B:$B,0),0)))</f>
        <v>TERM</v>
      </c>
    </row>
    <row r="55" customFormat="false" ht="21" hidden="false" customHeight="true" outlineLevel="0" collapsed="false">
      <c r="A55" s="26" t="s">
        <v>320</v>
      </c>
      <c r="B55" s="38" t="str">
        <f aca="false">IF(B23="",keycodes!$C$2,IF($B$1="Japanese",IF(INDEX(keycodes!$E:$E,MATCH(B23,keycodes!$A:$A,0),0)&lt;&gt;"",INDEX(keycodes!$E:$E,MATCH(B23,keycodes!$A:$A,0),0),INDEX(keycodes!$C:$C,MATCH(B23,keycodes!$A:$A,0),0)),INDEX(keycodes!$C:$C,MATCH(B23,keycodes!$B:$B,0),0)))</f>
        <v>_______</v>
      </c>
      <c r="C55" s="38" t="str">
        <f aca="false">IF(C23="",keycodes!$C$2,IF($B$1="Japanese",IF(INDEX(keycodes!$E:$E,MATCH(C23,keycodes!$A:$A,0),0)&lt;&gt;"",INDEX(keycodes!$E:$E,MATCH(C23,keycodes!$A:$A,0),0),INDEX(keycodes!$C:$C,MATCH(C23,keycodes!$A:$A,0),0)),INDEX(keycodes!$C:$C,MATCH(C23,keycodes!$B:$B,0),0)))</f>
        <v>_______</v>
      </c>
      <c r="D55" s="38" t="str">
        <f aca="false">IF(D23="",keycodes!$C$2,IF($B$1="Japanese",IF(INDEX(keycodes!$E:$E,MATCH(D23,keycodes!$A:$A,0),0)&lt;&gt;"",INDEX(keycodes!$E:$E,MATCH(D23,keycodes!$A:$A,0),0),INDEX(keycodes!$C:$C,MATCH(D23,keycodes!$A:$A,0),0)),INDEX(keycodes!$C:$C,MATCH(D23,keycodes!$B:$B,0),0)))</f>
        <v>_______</v>
      </c>
      <c r="E55" s="38" t="str">
        <f aca="false">IF(E23="",keycodes!$C$2,IF($B$1="Japanese",IF(INDEX(keycodes!$E:$E,MATCH(E23,keycodes!$A:$A,0),0)&lt;&gt;"",INDEX(keycodes!$E:$E,MATCH(E23,keycodes!$A:$A,0),0),INDEX(keycodes!$C:$C,MATCH(E23,keycodes!$A:$A,0),0)),INDEX(keycodes!$C:$C,MATCH(E23,keycodes!$B:$B,0),0)))</f>
        <v>_______</v>
      </c>
      <c r="F55" s="38" t="str">
        <f aca="false">IF(F23="",keycodes!$C$2,IF($B$1="Japanese",IF(INDEX(keycodes!$E:$E,MATCH(F23,keycodes!$A:$A,0),0)&lt;&gt;"",INDEX(keycodes!$E:$E,MATCH(F23,keycodes!$A:$A,0),0),INDEX(keycodes!$C:$C,MATCH(F23,keycodes!$A:$A,0),0)),INDEX(keycodes!$C:$C,MATCH(F23,keycodes!$B:$B,0),0)))</f>
        <v>_______</v>
      </c>
      <c r="G55" s="38" t="str">
        <f aca="false">IF(G23="",keycodes!$C$2,IF($B$1="Japanese",IF(INDEX(keycodes!$E:$E,MATCH(G23,keycodes!$A:$A,0),0)&lt;&gt;"",INDEX(keycodes!$E:$E,MATCH(G23,keycodes!$A:$A,0),0),INDEX(keycodes!$C:$C,MATCH(G23,keycodes!$A:$A,0),0)),INDEX(keycodes!$C:$C,MATCH(G23,keycodes!$B:$B,0),0)))</f>
        <v>_______</v>
      </c>
      <c r="H55" s="39" t="str">
        <f aca="false">IF(H23="",keycodes!$C$2,IF($B$1="Japanese",IF(INDEX(keycodes!$E:$E,MATCH(H23,keycodes!$A:$A,0),0)&lt;&gt;"",INDEX(keycodes!$E:$E,MATCH(H23,keycodes!$A:$A,0),0),INDEX(keycodes!$C:$C,MATCH(H23,keycodes!$A:$A,0),0)),INDEX(keycodes!$C:$C,MATCH(H23,keycodes!$B:$B,0),0)))</f>
        <v>NONE</v>
      </c>
      <c r="I55" s="39" t="str">
        <f aca="false">IF(I23="",keycodes!$C$2,IF($B$1="Japanese",IF(INDEX(keycodes!$E:$E,MATCH(I23,keycodes!$A:$A,0),0)&lt;&gt;"",INDEX(keycodes!$E:$E,MATCH(I23,keycodes!$A:$A,0),0),INDEX(keycodes!$C:$C,MATCH(I23,keycodes!$A:$A,0),0)),INDEX(keycodes!$C:$C,MATCH(I23,keycodes!$B:$B,0),0)))</f>
        <v>NONE</v>
      </c>
      <c r="J55" s="38" t="str">
        <f aca="false">IF(J23="",keycodes!$C$2,IF($B$1="Japanese",IF(INDEX(keycodes!$E:$E,MATCH(J23,keycodes!$A:$A,0),0)&lt;&gt;"",INDEX(keycodes!$E:$E,MATCH(J23,keycodes!$A:$A,0),0),INDEX(keycodes!$C:$C,MATCH(J23,keycodes!$A:$A,0),0)),INDEX(keycodes!$C:$C,MATCH(J23,keycodes!$B:$B,0),0)))</f>
        <v>_______</v>
      </c>
      <c r="K55" s="38" t="str">
        <f aca="false">IF(K23="",keycodes!$C$2,IF($B$1="Japanese",IF(INDEX(keycodes!$E:$E,MATCH(K23,keycodes!$A:$A,0),0)&lt;&gt;"",INDEX(keycodes!$E:$E,MATCH(K23,keycodes!$A:$A,0),0),INDEX(keycodes!$C:$C,MATCH(K23,keycodes!$A:$A,0),0)),INDEX(keycodes!$C:$C,MATCH(K23,keycodes!$B:$B,0),0)))</f>
        <v>_______</v>
      </c>
      <c r="L55" s="38" t="str">
        <f aca="false">IF(L23="",keycodes!$C$2,IF($B$1="Japanese",IF(INDEX(keycodes!$E:$E,MATCH(L23,keycodes!$A:$A,0),0)&lt;&gt;"",INDEX(keycodes!$E:$E,MATCH(L23,keycodes!$A:$A,0),0),INDEX(keycodes!$C:$C,MATCH(L23,keycodes!$A:$A,0),0)),INDEX(keycodes!$C:$C,MATCH(L23,keycodes!$B:$B,0),0)))</f>
        <v>_______</v>
      </c>
      <c r="M55" s="38" t="str">
        <f aca="false">IF(M23="",keycodes!$C$2,IF($B$1="Japanese",IF(INDEX(keycodes!$E:$E,MATCH(M23,keycodes!$A:$A,0),0)&lt;&gt;"",INDEX(keycodes!$E:$E,MATCH(M23,keycodes!$A:$A,0),0),INDEX(keycodes!$C:$C,MATCH(M23,keycodes!$A:$A,0),0)),INDEX(keycodes!$C:$C,MATCH(M23,keycodes!$B:$B,0),0)))</f>
        <v>_______</v>
      </c>
      <c r="N55" s="38" t="str">
        <f aca="false">IF(N23="",keycodes!$C$2,IF($B$1="Japanese",IF(INDEX(keycodes!$E:$E,MATCH(N23,keycodes!$A:$A,0),0)&lt;&gt;"",INDEX(keycodes!$E:$E,MATCH(N23,keycodes!$A:$A,0),0),INDEX(keycodes!$C:$C,MATCH(N23,keycodes!$A:$A,0),0)),INDEX(keycodes!$C:$C,MATCH(N23,keycodes!$B:$B,0),0)))</f>
        <v>_______</v>
      </c>
      <c r="O55" s="40" t="str">
        <f aca="false">IF(O23="",keycodes!$C$2,IF($B$1="Japanese",IF(INDEX(keycodes!$E:$E,MATCH(O23,keycodes!$A:$A,0),0)&lt;&gt;"",INDEX(keycodes!$E:$E,MATCH(O23,keycodes!$A:$A,0),0),INDEX(keycodes!$C:$C,MATCH(O23,keycodes!$A:$A,0),0)),INDEX(keycodes!$C:$C,MATCH(O23,keycodes!$B:$B,0),0)))</f>
        <v>_______</v>
      </c>
    </row>
    <row r="56" customFormat="false" ht="21" hidden="false" customHeight="true" outlineLevel="0" collapsed="false">
      <c r="A56" s="30"/>
      <c r="B56" s="41" t="str">
        <f aca="false">IF(B24="",keycodes!$C$2,IF($B$1="Japanese",IF(INDEX(keycodes!$E:$E,MATCH(B24,keycodes!$A:$A,0),0)&lt;&gt;"",INDEX(keycodes!$E:$E,MATCH(B24,keycodes!$A:$A,0),0),INDEX(keycodes!$C:$C,MATCH(B24,keycodes!$A:$A,0),0)),INDEX(keycodes!$C:$C,MATCH(B24,keycodes!$B:$B,0),0)))</f>
        <v>XXXXXXX</v>
      </c>
      <c r="C56" s="41" t="str">
        <f aca="false">IF(C24="",keycodes!$C$2,IF($B$1="Japanese",IF(INDEX(keycodes!$E:$E,MATCH(C24,keycodes!$A:$A,0),0)&lt;&gt;"",INDEX(keycodes!$E:$E,MATCH(C24,keycodes!$A:$A,0),0),INDEX(keycodes!$C:$C,MATCH(C24,keycodes!$A:$A,0),0)),INDEX(keycodes!$C:$C,MATCH(C24,keycodes!$B:$B,0),0)))</f>
        <v>S(KC_1)</v>
      </c>
      <c r="D56" s="41" t="str">
        <f aca="false">IF(D24="",keycodes!$C$2,IF($B$1="Japanese",IF(INDEX(keycodes!$E:$E,MATCH(D24,keycodes!$A:$A,0),0)&lt;&gt;"",INDEX(keycodes!$E:$E,MATCH(D24,keycodes!$A:$A,0),0),INDEX(keycodes!$C:$C,MATCH(D24,keycodes!$A:$A,0),0)),INDEX(keycodes!$C:$C,MATCH(D24,keycodes!$B:$B,0),0)))</f>
        <v>S(KC_2)</v>
      </c>
      <c r="E56" s="41" t="str">
        <f aca="false">IF(E24="",keycodes!$C$2,IF($B$1="Japanese",IF(INDEX(keycodes!$E:$E,MATCH(E24,keycodes!$A:$A,0),0)&lt;&gt;"",INDEX(keycodes!$E:$E,MATCH(E24,keycodes!$A:$A,0),0),INDEX(keycodes!$C:$C,MATCH(E24,keycodes!$A:$A,0),0)),INDEX(keycodes!$C:$C,MATCH(E24,keycodes!$B:$B,0),0)))</f>
        <v>S(KC_3)</v>
      </c>
      <c r="F56" s="41" t="str">
        <f aca="false">IF(F24="",keycodes!$C$2,IF($B$1="Japanese",IF(INDEX(keycodes!$E:$E,MATCH(F24,keycodes!$A:$A,0),0)&lt;&gt;"",INDEX(keycodes!$E:$E,MATCH(F24,keycodes!$A:$A,0),0),INDEX(keycodes!$C:$C,MATCH(F24,keycodes!$A:$A,0),0)),INDEX(keycodes!$C:$C,MATCH(F24,keycodes!$B:$B,0),0)))</f>
        <v>S(KC_4)</v>
      </c>
      <c r="G56" s="41" t="str">
        <f aca="false">IF(G24="",keycodes!$C$2,IF($B$1="Japanese",IF(INDEX(keycodes!$E:$E,MATCH(G24,keycodes!$A:$A,0),0)&lt;&gt;"",INDEX(keycodes!$E:$E,MATCH(G24,keycodes!$A:$A,0),0),INDEX(keycodes!$C:$C,MATCH(G24,keycodes!$A:$A,0),0)),INDEX(keycodes!$C:$C,MATCH(G24,keycodes!$B:$B,0),0)))</f>
        <v>S(KC_5)</v>
      </c>
      <c r="H56" s="42" t="str">
        <f aca="false">IF(H24="",keycodes!$C$2,IF($B$1="Japanese",IF(INDEX(keycodes!$E:$E,MATCH(H24,keycodes!$A:$A,0),0)&lt;&gt;"",INDEX(keycodes!$E:$E,MATCH(H24,keycodes!$A:$A,0),0),INDEX(keycodes!$C:$C,MATCH(H24,keycodes!$A:$A,0),0)),INDEX(keycodes!$C:$C,MATCH(H24,keycodes!$B:$B,0),0)))</f>
        <v>NONE</v>
      </c>
      <c r="I56" s="42" t="str">
        <f aca="false">IF(I24="",keycodes!$C$2,IF($B$1="Japanese",IF(INDEX(keycodes!$E:$E,MATCH(I24,keycodes!$A:$A,0),0)&lt;&gt;"",INDEX(keycodes!$E:$E,MATCH(I24,keycodes!$A:$A,0),0),INDEX(keycodes!$C:$C,MATCH(I24,keycodes!$A:$A,0),0)),INDEX(keycodes!$C:$C,MATCH(I24,keycodes!$B:$B,0),0)))</f>
        <v>NONE</v>
      </c>
      <c r="J56" s="41" t="str">
        <f aca="false">IF(J24="",keycodes!$C$2,IF($B$1="Japanese",IF(INDEX(keycodes!$E:$E,MATCH(J24,keycodes!$A:$A,0),0)&lt;&gt;"",INDEX(keycodes!$E:$E,MATCH(J24,keycodes!$A:$A,0),0),INDEX(keycodes!$C:$C,MATCH(J24,keycodes!$A:$A,0),0)),INDEX(keycodes!$C:$C,MATCH(J24,keycodes!$B:$B,0),0)))</f>
        <v>S(KC_6)</v>
      </c>
      <c r="K56" s="41" t="str">
        <f aca="false">IF(K24="",keycodes!$C$2,IF($B$1="Japanese",IF(INDEX(keycodes!$E:$E,MATCH(K24,keycodes!$A:$A,0),0)&lt;&gt;"",INDEX(keycodes!$E:$E,MATCH(K24,keycodes!$A:$A,0),0),INDEX(keycodes!$C:$C,MATCH(K24,keycodes!$A:$A,0),0)),INDEX(keycodes!$C:$C,MATCH(K24,keycodes!$B:$B,0),0)))</f>
        <v>S(KC_7)</v>
      </c>
      <c r="L56" s="41" t="str">
        <f aca="false">IF(L24="",keycodes!$C$2,IF($B$1="Japanese",IF(INDEX(keycodes!$E:$E,MATCH(L24,keycodes!$A:$A,0),0)&lt;&gt;"",INDEX(keycodes!$E:$E,MATCH(L24,keycodes!$A:$A,0),0),INDEX(keycodes!$C:$C,MATCH(L24,keycodes!$A:$A,0),0)),INDEX(keycodes!$C:$C,MATCH(L24,keycodes!$B:$B,0),0)))</f>
        <v>S(KC_8)</v>
      </c>
      <c r="M56" s="41" t="str">
        <f aca="false">IF(M24="",keycodes!$C$2,IF($B$1="Japanese",IF(INDEX(keycodes!$E:$E,MATCH(M24,keycodes!$A:$A,0),0)&lt;&gt;"",INDEX(keycodes!$E:$E,MATCH(M24,keycodes!$A:$A,0),0),INDEX(keycodes!$C:$C,MATCH(M24,keycodes!$A:$A,0),0)),INDEX(keycodes!$C:$C,MATCH(M24,keycodes!$B:$B,0),0)))</f>
        <v>S(KC_9)</v>
      </c>
      <c r="N56" s="41" t="str">
        <f aca="false">IF(N24="",keycodes!$C$2,IF($B$1="Japanese",IF(INDEX(keycodes!$E:$E,MATCH(N24,keycodes!$A:$A,0),0)&lt;&gt;"",INDEX(keycodes!$E:$E,MATCH(N24,keycodes!$A:$A,0),0),INDEX(keycodes!$C:$C,MATCH(N24,keycodes!$A:$A,0),0)),INDEX(keycodes!$C:$C,MATCH(N24,keycodes!$B:$B,0),0)))</f>
        <v>XXXXXXX</v>
      </c>
      <c r="O56" s="43" t="str">
        <f aca="false">IF(O24="",keycodes!$C$2,IF($B$1="Japanese",IF(INDEX(keycodes!$E:$E,MATCH(O24,keycodes!$A:$A,0),0)&lt;&gt;"",INDEX(keycodes!$E:$E,MATCH(O24,keycodes!$A:$A,0),0),INDEX(keycodes!$C:$C,MATCH(O24,keycodes!$A:$A,0),0)),INDEX(keycodes!$C:$C,MATCH(O24,keycodes!$B:$B,0),0)))</f>
        <v>XXXXXXX</v>
      </c>
    </row>
    <row r="57" customFormat="false" ht="21" hidden="false" customHeight="true" outlineLevel="0" collapsed="false">
      <c r="A57" s="30"/>
      <c r="B57" s="41" t="str">
        <f aca="false">IF(B25="",keycodes!$C$2,IF($B$1="Japanese",IF(INDEX(keycodes!$E:$E,MATCH(B25,keycodes!$A:$A,0),0)&lt;&gt;"",INDEX(keycodes!$E:$E,MATCH(B25,keycodes!$A:$A,0),0),INDEX(keycodes!$C:$C,MATCH(B25,keycodes!$A:$A,0),0)),INDEX(keycodes!$C:$C,MATCH(B25,keycodes!$B:$B,0),0)))</f>
        <v>XXXXXXX</v>
      </c>
      <c r="C57" s="41" t="str">
        <f aca="false">IF(C25="",keycodes!$C$2,IF($B$1="Japanese",IF(INDEX(keycodes!$E:$E,MATCH(C25,keycodes!$A:$A,0),0)&lt;&gt;"",INDEX(keycodes!$E:$E,MATCH(C25,keycodes!$A:$A,0),0),INDEX(keycodes!$C:$C,MATCH(C25,keycodes!$A:$A,0),0)),INDEX(keycodes!$C:$C,MATCH(C25,keycodes!$B:$B,0),0)))</f>
        <v>XXXXXXX</v>
      </c>
      <c r="D57" s="41" t="str">
        <f aca="false">IF(D25="",keycodes!$C$2,IF($B$1="Japanese",IF(INDEX(keycodes!$E:$E,MATCH(D25,keycodes!$A:$A,0),0)&lt;&gt;"",INDEX(keycodes!$E:$E,MATCH(D25,keycodes!$A:$A,0),0),INDEX(keycodes!$C:$C,MATCH(D25,keycodes!$A:$A,0),0)),INDEX(keycodes!$C:$C,MATCH(D25,keycodes!$B:$B,0),0)))</f>
        <v>KC_HOME</v>
      </c>
      <c r="E57" s="41" t="str">
        <f aca="false">IF(E25="",keycodes!$C$2,IF($B$1="Japanese",IF(INDEX(keycodes!$E:$E,MATCH(E25,keycodes!$A:$A,0),0)&lt;&gt;"",INDEX(keycodes!$E:$E,MATCH(E25,keycodes!$A:$A,0),0),INDEX(keycodes!$C:$C,MATCH(E25,keycodes!$A:$A,0),0)),INDEX(keycodes!$C:$C,MATCH(E25,keycodes!$B:$B,0),0)))</f>
        <v>KC_PGUP</v>
      </c>
      <c r="F57" s="41" t="str">
        <f aca="false">IF(F25="",keycodes!$C$2,IF($B$1="Japanese",IF(INDEX(keycodes!$E:$E,MATCH(F25,keycodes!$A:$A,0),0)&lt;&gt;"",INDEX(keycodes!$E:$E,MATCH(F25,keycodes!$A:$A,0),0),INDEX(keycodes!$C:$C,MATCH(F25,keycodes!$A:$A,0),0)),INDEX(keycodes!$C:$C,MATCH(F25,keycodes!$B:$B,0),0)))</f>
        <v>KC_PGDN</v>
      </c>
      <c r="G57" s="41" t="str">
        <f aca="false">IF(G25="",keycodes!$C$2,IF($B$1="Japanese",IF(INDEX(keycodes!$E:$E,MATCH(G25,keycodes!$A:$A,0),0)&lt;&gt;"",INDEX(keycodes!$E:$E,MATCH(G25,keycodes!$A:$A,0),0),INDEX(keycodes!$C:$C,MATCH(G25,keycodes!$A:$A,0),0)),INDEX(keycodes!$C:$C,MATCH(G25,keycodes!$B:$B,0),0)))</f>
        <v>KC_END</v>
      </c>
      <c r="H57" s="42" t="str">
        <f aca="false">IF(H25="",keycodes!$C$2,IF($B$1="Japanese",IF(INDEX(keycodes!$E:$E,MATCH(H25,keycodes!$A:$A,0),0)&lt;&gt;"",INDEX(keycodes!$E:$E,MATCH(H25,keycodes!$A:$A,0),0),INDEX(keycodes!$C:$C,MATCH(H25,keycodes!$A:$A,0),0)),INDEX(keycodes!$C:$C,MATCH(H25,keycodes!$B:$B,0),0)))</f>
        <v>NONE</v>
      </c>
      <c r="I57" s="42" t="str">
        <f aca="false">IF(I25="",keycodes!$C$2,IF($B$1="Japanese",IF(INDEX(keycodes!$E:$E,MATCH(I25,keycodes!$A:$A,0),0)&lt;&gt;"",INDEX(keycodes!$E:$E,MATCH(I25,keycodes!$A:$A,0),0),INDEX(keycodes!$C:$C,MATCH(I25,keycodes!$A:$A,0),0)),INDEX(keycodes!$C:$C,MATCH(I25,keycodes!$B:$B,0),0)))</f>
        <v>NONE</v>
      </c>
      <c r="J57" s="41" t="str">
        <f aca="false">IF(J25="",keycodes!$C$2,IF($B$1="Japanese",IF(INDEX(keycodes!$E:$E,MATCH(J25,keycodes!$A:$A,0),0)&lt;&gt;"",INDEX(keycodes!$E:$E,MATCH(J25,keycodes!$A:$A,0),0),INDEX(keycodes!$C:$C,MATCH(J25,keycodes!$A:$A,0),0)),INDEX(keycodes!$C:$C,MATCH(J25,keycodes!$B:$B,0),0)))</f>
        <v>KC_LEFT</v>
      </c>
      <c r="K57" s="41" t="str">
        <f aca="false">IF(K25="",keycodes!$C$2,IF($B$1="Japanese",IF(INDEX(keycodes!$E:$E,MATCH(K25,keycodes!$A:$A,0),0)&lt;&gt;"",INDEX(keycodes!$E:$E,MATCH(K25,keycodes!$A:$A,0),0),INDEX(keycodes!$C:$C,MATCH(K25,keycodes!$A:$A,0),0)),INDEX(keycodes!$C:$C,MATCH(K25,keycodes!$B:$B,0),0)))</f>
        <v>KC_DOWN</v>
      </c>
      <c r="L57" s="41" t="str">
        <f aca="false">IF(L25="",keycodes!$C$2,IF($B$1="Japanese",IF(INDEX(keycodes!$E:$E,MATCH(L25,keycodes!$A:$A,0),0)&lt;&gt;"",INDEX(keycodes!$E:$E,MATCH(L25,keycodes!$A:$A,0),0),INDEX(keycodes!$C:$C,MATCH(L25,keycodes!$A:$A,0),0)),INDEX(keycodes!$C:$C,MATCH(L25,keycodes!$B:$B,0),0)))</f>
        <v>KC_UP</v>
      </c>
      <c r="M57" s="41" t="str">
        <f aca="false">IF(M25="",keycodes!$C$2,IF($B$1="Japanese",IF(INDEX(keycodes!$E:$E,MATCH(M25,keycodes!$A:$A,0),0)&lt;&gt;"",INDEX(keycodes!$E:$E,MATCH(M25,keycodes!$A:$A,0),0),INDEX(keycodes!$C:$C,MATCH(M25,keycodes!$A:$A,0),0)),INDEX(keycodes!$C:$C,MATCH(M25,keycodes!$B:$B,0),0)))</f>
        <v>KC_RGHT</v>
      </c>
      <c r="N57" s="41" t="str">
        <f aca="false">IF(N25="",keycodes!$C$2,IF($B$1="Japanese",IF(INDEX(keycodes!$E:$E,MATCH(N25,keycodes!$A:$A,0),0)&lt;&gt;"",INDEX(keycodes!$E:$E,MATCH(N25,keycodes!$A:$A,0),0),INDEX(keycodes!$C:$C,MATCH(N25,keycodes!$A:$A,0),0)),INDEX(keycodes!$C:$C,MATCH(N25,keycodes!$B:$B,0),0)))</f>
        <v>KC_EQL</v>
      </c>
      <c r="O57" s="43" t="str">
        <f aca="false">IF(O25="",keycodes!$C$2,IF($B$1="Japanese",IF(INDEX(keycodes!$E:$E,MATCH(O25,keycodes!$A:$A,0),0)&lt;&gt;"",INDEX(keycodes!$E:$E,MATCH(O25,keycodes!$A:$A,0),0),INDEX(keycodes!$C:$C,MATCH(O25,keycodes!$A:$A,0),0)),INDEX(keycodes!$C:$C,MATCH(O25,keycodes!$B:$B,0),0)))</f>
        <v>KC_MINS</v>
      </c>
    </row>
    <row r="58" customFormat="false" ht="21" hidden="false" customHeight="true" outlineLevel="0" collapsed="false">
      <c r="A58" s="30"/>
      <c r="B58" s="41" t="str">
        <f aca="false">IF(B26="",keycodes!$C$2,IF($B$1="Japanese",IF(INDEX(keycodes!$E:$E,MATCH(B26,keycodes!$A:$A,0),0)&lt;&gt;"",INDEX(keycodes!$E:$E,MATCH(B26,keycodes!$A:$A,0),0),INDEX(keycodes!$C:$C,MATCH(B26,keycodes!$A:$A,0),0)),INDEX(keycodes!$C:$C,MATCH(B26,keycodes!$B:$B,0),0)))</f>
        <v>KC_LCTL</v>
      </c>
      <c r="C58" s="41" t="str">
        <f aca="false">IF(C26="",keycodes!$C$2,IF($B$1="Japanese",IF(INDEX(keycodes!$E:$E,MATCH(C26,keycodes!$A:$A,0),0)&lt;&gt;"",INDEX(keycodes!$E:$E,MATCH(C26,keycodes!$A:$A,0),0),INDEX(keycodes!$C:$C,MATCH(C26,keycodes!$A:$A,0),0)),INDEX(keycodes!$C:$C,MATCH(C26,keycodes!$B:$B,0),0)))</f>
        <v>KC_LALT</v>
      </c>
      <c r="D58" s="41" t="str">
        <f aca="false">IF(D26="",keycodes!$C$2,IF($B$1="Japanese",IF(INDEX(keycodes!$E:$E,MATCH(D26,keycodes!$A:$A,0),0)&lt;&gt;"",INDEX(keycodes!$E:$E,MATCH(D26,keycodes!$A:$A,0),0),INDEX(keycodes!$C:$C,MATCH(D26,keycodes!$A:$A,0),0)),INDEX(keycodes!$C:$C,MATCH(D26,keycodes!$B:$B,0),0)))</f>
        <v>XXXXXXX</v>
      </c>
      <c r="E58" s="41" t="str">
        <f aca="false">IF(E26="",keycodes!$C$2,IF($B$1="Japanese",IF(INDEX(keycodes!$E:$E,MATCH(E26,keycodes!$A:$A,0),0)&lt;&gt;"",INDEX(keycodes!$E:$E,MATCH(E26,keycodes!$A:$A,0),0),INDEX(keycodes!$C:$C,MATCH(E26,keycodes!$A:$A,0),0)),INDEX(keycodes!$C:$C,MATCH(E26,keycodes!$B:$B,0),0)))</f>
        <v>XXXXXXX</v>
      </c>
      <c r="F58" s="41" t="str">
        <f aca="false">IF(F26="",keycodes!$C$2,IF($B$1="Japanese",IF(INDEX(keycodes!$E:$E,MATCH(F26,keycodes!$A:$A,0),0)&lt;&gt;"",INDEX(keycodes!$E:$E,MATCH(F26,keycodes!$A:$A,0),0),INDEX(keycodes!$C:$C,MATCH(F26,keycodes!$A:$A,0),0)),INDEX(keycodes!$C:$C,MATCH(F26,keycodes!$B:$B,0),0)))</f>
        <v>KC_INT5</v>
      </c>
      <c r="G58" s="41" t="str">
        <f aca="false">IF(G26="",keycodes!$C$2,IF($B$1="Japanese",IF(INDEX(keycodes!$E:$E,MATCH(G26,keycodes!$A:$A,0),0)&lt;&gt;"",INDEX(keycodes!$E:$E,MATCH(G26,keycodes!$A:$A,0),0),INDEX(keycodes!$C:$C,MATCH(G26,keycodes!$A:$A,0),0)),INDEX(keycodes!$C:$C,MATCH(G26,keycodes!$B:$B,0),0)))</f>
        <v>KC_BSPC</v>
      </c>
      <c r="H58" s="41" t="str">
        <f aca="false">IF(H26="",keycodes!$C$2,IF($B$1="Japanese",IF(INDEX(keycodes!$E:$E,MATCH(H26,keycodes!$A:$A,0),0)&lt;&gt;"",INDEX(keycodes!$E:$E,MATCH(H26,keycodes!$A:$A,0),0),INDEX(keycodes!$C:$C,MATCH(H26,keycodes!$A:$A,0),0)),INDEX(keycodes!$C:$C,MATCH(H26,keycodes!$B:$B,0),0)))</f>
        <v>_______</v>
      </c>
      <c r="I58" s="41" t="str">
        <f aca="false">IF(I26="",keycodes!$C$2,IF($B$1="Japanese",IF(INDEX(keycodes!$E:$E,MATCH(I26,keycodes!$A:$A,0),0)&lt;&gt;"",INDEX(keycodes!$E:$E,MATCH(I26,keycodes!$A:$A,0),0),INDEX(keycodes!$C:$C,MATCH(I26,keycodes!$A:$A,0),0)),INDEX(keycodes!$C:$C,MATCH(I26,keycodes!$B:$B,0),0)))</f>
        <v>_______</v>
      </c>
      <c r="J58" s="41" t="str">
        <f aca="false">IF(J26="",keycodes!$C$2,IF($B$1="Japanese",IF(INDEX(keycodes!$E:$E,MATCH(J26,keycodes!$A:$A,0),0)&lt;&gt;"",INDEX(keycodes!$E:$E,MATCH(J26,keycodes!$A:$A,0),0),INDEX(keycodes!$C:$C,MATCH(J26,keycodes!$A:$A,0),0)),INDEX(keycodes!$C:$C,MATCH(J26,keycodes!$B:$B,0),0)))</f>
        <v>KC_DEL</v>
      </c>
      <c r="K58" s="41" t="str">
        <f aca="false">IF(K26="",keycodes!$C$2,IF($B$1="Japanese",IF(INDEX(keycodes!$E:$E,MATCH(K26,keycodes!$A:$A,0),0)&lt;&gt;"",INDEX(keycodes!$E:$E,MATCH(K26,keycodes!$A:$A,0),0),INDEX(keycodes!$C:$C,MATCH(K26,keycodes!$A:$A,0),0)),INDEX(keycodes!$C:$C,MATCH(K26,keycodes!$B:$B,0),0)))</f>
        <v>KC_INT4</v>
      </c>
      <c r="L58" s="41" t="str">
        <f aca="false">IF(L26="",keycodes!$C$2,IF($B$1="Japanese",IF(INDEX(keycodes!$E:$E,MATCH(L26,keycodes!$A:$A,0),0)&lt;&gt;"",INDEX(keycodes!$E:$E,MATCH(L26,keycodes!$A:$A,0),0),INDEX(keycodes!$C:$C,MATCH(L26,keycodes!$A:$A,0),0)),INDEX(keycodes!$C:$C,MATCH(L26,keycodes!$B:$B,0),0)))</f>
        <v>KC_RBRC</v>
      </c>
      <c r="M58" s="41" t="str">
        <f aca="false">IF(M26="",keycodes!$C$2,IF($B$1="Japanese",IF(INDEX(keycodes!$E:$E,MATCH(M26,keycodes!$A:$A,0),0)&lt;&gt;"",INDEX(keycodes!$E:$E,MATCH(M26,keycodes!$A:$A,0),0),INDEX(keycodes!$C:$C,MATCH(M26,keycodes!$A:$A,0),0)),INDEX(keycodes!$C:$C,MATCH(M26,keycodes!$B:$B,0),0)))</f>
        <v>KC_BSLS</v>
      </c>
      <c r="N58" s="41" t="str">
        <f aca="false">IF(N26="",keycodes!$C$2,IF($B$1="Japanese",IF(INDEX(keycodes!$E:$E,MATCH(N26,keycodes!$A:$A,0),0)&lt;&gt;"",INDEX(keycodes!$E:$E,MATCH(N26,keycodes!$A:$A,0),0),INDEX(keycodes!$C:$C,MATCH(N26,keycodes!$A:$A,0),0)),INDEX(keycodes!$C:$C,MATCH(N26,keycodes!$B:$B,0),0)))</f>
        <v>S(KC_EQL)</v>
      </c>
      <c r="O58" s="43" t="str">
        <f aca="false">IF(O26="",keycodes!$C$2,IF($B$1="Japanese",IF(INDEX(keycodes!$E:$E,MATCH(O26,keycodes!$A:$A,0),0)&lt;&gt;"",INDEX(keycodes!$E:$E,MATCH(O26,keycodes!$A:$A,0),0),INDEX(keycodes!$C:$C,MATCH(O26,keycodes!$A:$A,0),0)),INDEX(keycodes!$C:$C,MATCH(O26,keycodes!$B:$B,0),0)))</f>
        <v>S(KC_INT3)</v>
      </c>
    </row>
    <row r="59" customFormat="false" ht="21" hidden="false" customHeight="true" outlineLevel="0" collapsed="false">
      <c r="A59" s="34"/>
      <c r="B59" s="44" t="str">
        <f aca="false">IF(B27="",keycodes!$C$2,IF($B$1="Japanese",IF(INDEX(keycodes!$E:$E,MATCH(B27,keycodes!$A:$A,0),0)&lt;&gt;"",INDEX(keycodes!$E:$E,MATCH(B27,keycodes!$A:$A,0),0),INDEX(keycodes!$C:$C,MATCH(B27,keycodes!$A:$A,0),0)),INDEX(keycodes!$C:$C,MATCH(B27,keycodes!$B:$B,0),0)))</f>
        <v>NONE</v>
      </c>
      <c r="C59" s="44" t="str">
        <f aca="false">IF(C27="",keycodes!$C$2,IF($B$1="Japanese",IF(INDEX(keycodes!$E:$E,MATCH(C27,keycodes!$A:$A,0),0)&lt;&gt;"",INDEX(keycodes!$E:$E,MATCH(C27,keycodes!$A:$A,0),0),INDEX(keycodes!$C:$C,MATCH(C27,keycodes!$A:$A,0),0)),INDEX(keycodes!$C:$C,MATCH(C27,keycodes!$B:$B,0),0)))</f>
        <v>NONE</v>
      </c>
      <c r="D59" s="44" t="str">
        <f aca="false">IF(D27="",keycodes!$C$2,IF($B$1="Japanese",IF(INDEX(keycodes!$E:$E,MATCH(D27,keycodes!$A:$A,0),0)&lt;&gt;"",INDEX(keycodes!$E:$E,MATCH(D27,keycodes!$A:$A,0),0),INDEX(keycodes!$C:$C,MATCH(D27,keycodes!$A:$A,0),0)),INDEX(keycodes!$C:$C,MATCH(D27,keycodes!$B:$B,0),0)))</f>
        <v>NONE</v>
      </c>
      <c r="E59" s="45" t="str">
        <f aca="false">IF(E27="",keycodes!$C$2,IF($B$1="Japanese",IF(INDEX(keycodes!$E:$E,MATCH(E27,keycodes!$A:$A,0),0)&lt;&gt;"",INDEX(keycodes!$E:$E,MATCH(E27,keycodes!$A:$A,0),0),INDEX(keycodes!$C:$C,MATCH(E27,keycodes!$A:$A,0),0)),INDEX(keycodes!$C:$C,MATCH(E27,keycodes!$B:$B,0),0)))</f>
        <v>_______</v>
      </c>
      <c r="F59" s="45" t="str">
        <f aca="false">IF(F27="",keycodes!$C$2,IF($B$1="Japanese",IF(INDEX(keycodes!$E:$E,MATCH(F27,keycodes!$A:$A,0),0)&lt;&gt;"",INDEX(keycodes!$E:$E,MATCH(F27,keycodes!$A:$A,0),0),INDEX(keycodes!$C:$C,MATCH(F27,keycodes!$A:$A,0),0)),INDEX(keycodes!$C:$C,MATCH(F27,keycodes!$B:$B,0),0)))</f>
        <v>_______</v>
      </c>
      <c r="G59" s="45" t="str">
        <f aca="false">IF(G27="",keycodes!$C$2,IF($B$1="Japanese",IF(INDEX(keycodes!$E:$E,MATCH(G27,keycodes!$A:$A,0),0)&lt;&gt;"",INDEX(keycodes!$E:$E,MATCH(G27,keycodes!$A:$A,0),0),INDEX(keycodes!$C:$C,MATCH(G27,keycodes!$A:$A,0),0)),INDEX(keycodes!$C:$C,MATCH(G27,keycodes!$B:$B,0),0)))</f>
        <v>_______</v>
      </c>
      <c r="H59" s="45" t="str">
        <f aca="false">IF(H27="",keycodes!$C$2,IF($B$1="Japanese",IF(INDEX(keycodes!$E:$E,MATCH(H27,keycodes!$A:$A,0),0)&lt;&gt;"",INDEX(keycodes!$E:$E,MATCH(H27,keycodes!$A:$A,0),0),INDEX(keycodes!$C:$C,MATCH(H27,keycodes!$A:$A,0),0)),INDEX(keycodes!$C:$C,MATCH(H27,keycodes!$B:$B,0),0)))</f>
        <v>_______</v>
      </c>
      <c r="I59" s="45" t="str">
        <f aca="false">IF(I27="",keycodes!$C$2,IF($B$1="Japanese",IF(INDEX(keycodes!$E:$E,MATCH(I27,keycodes!$A:$A,0),0)&lt;&gt;"",INDEX(keycodes!$E:$E,MATCH(I27,keycodes!$A:$A,0),0),INDEX(keycodes!$C:$C,MATCH(I27,keycodes!$A:$A,0),0)),INDEX(keycodes!$C:$C,MATCH(I27,keycodes!$B:$B,0),0)))</f>
        <v>_______</v>
      </c>
      <c r="J59" s="45" t="str">
        <f aca="false">IF(J27="",keycodes!$C$2,IF($B$1="Japanese",IF(INDEX(keycodes!$E:$E,MATCH(J27,keycodes!$A:$A,0),0)&lt;&gt;"",INDEX(keycodes!$E:$E,MATCH(J27,keycodes!$A:$A,0),0),INDEX(keycodes!$C:$C,MATCH(J27,keycodes!$A:$A,0),0)),INDEX(keycodes!$C:$C,MATCH(J27,keycodes!$B:$B,0),0)))</f>
        <v>_______</v>
      </c>
      <c r="K59" s="45" t="str">
        <f aca="false">IF(K27="",keycodes!$C$2,IF($B$1="Japanese",IF(INDEX(keycodes!$E:$E,MATCH(K27,keycodes!$A:$A,0),0)&lt;&gt;"",INDEX(keycodes!$E:$E,MATCH(K27,keycodes!$A:$A,0),0),INDEX(keycodes!$C:$C,MATCH(K27,keycodes!$A:$A,0),0)),INDEX(keycodes!$C:$C,MATCH(K27,keycodes!$B:$B,0),0)))</f>
        <v>_______</v>
      </c>
      <c r="L59" s="45" t="str">
        <f aca="false">IF(L27="",keycodes!$C$2,IF($B$1="Japanese",IF(INDEX(keycodes!$E:$E,MATCH(L27,keycodes!$A:$A,0),0)&lt;&gt;"",INDEX(keycodes!$E:$E,MATCH(L27,keycodes!$A:$A,0),0),INDEX(keycodes!$C:$C,MATCH(L27,keycodes!$A:$A,0),0)),INDEX(keycodes!$C:$C,MATCH(L27,keycodes!$B:$B,0),0)))</f>
        <v>_______</v>
      </c>
      <c r="M59" s="44" t="str">
        <f aca="false">IF(M27="",keycodes!$C$2,IF($B$1="Japanese",IF(INDEX(keycodes!$E:$E,MATCH(M27,keycodes!$A:$A,0),0)&lt;&gt;"",INDEX(keycodes!$E:$E,MATCH(M27,keycodes!$A:$A,0),0),INDEX(keycodes!$C:$C,MATCH(M27,keycodes!$A:$A,0),0)),INDEX(keycodes!$C:$C,MATCH(M27,keycodes!$B:$B,0),0)))</f>
        <v>TERM</v>
      </c>
      <c r="N59" s="44" t="str">
        <f aca="false">IF(N27="",keycodes!$C$2,IF($B$1="Japanese",IF(INDEX(keycodes!$E:$E,MATCH(N27,keycodes!$A:$A,0),0)&lt;&gt;"",INDEX(keycodes!$E:$E,MATCH(N27,keycodes!$A:$A,0),0),INDEX(keycodes!$C:$C,MATCH(N27,keycodes!$A:$A,0),0)),INDEX(keycodes!$C:$C,MATCH(N27,keycodes!$B:$B,0),0)))</f>
        <v>TERM</v>
      </c>
      <c r="O59" s="46" t="str">
        <f aca="false">IF(O27="",keycodes!$C$2,IF($B$1="Japanese",IF(INDEX(keycodes!$E:$E,MATCH(O27,keycodes!$A:$A,0),0)&lt;&gt;"",INDEX(keycodes!$E:$E,MATCH(O27,keycodes!$A:$A,0),0),INDEX(keycodes!$C:$C,MATCH(O27,keycodes!$A:$A,0),0)),INDEX(keycodes!$C:$C,MATCH(O27,keycodes!$B:$B,0),0)))</f>
        <v>TERM</v>
      </c>
    </row>
    <row r="60" customFormat="false" ht="21" hidden="false" customHeight="true" outlineLevel="0" collapsed="false">
      <c r="A60" s="26" t="s">
        <v>321</v>
      </c>
      <c r="B60" s="38" t="str">
        <f aca="false">IF(B28="",keycodes!$C$2,IF($B$1="Japanese",IF(INDEX(keycodes!$E:$E,MATCH(B28,keycodes!$A:$A,0),0)&lt;&gt;"",INDEX(keycodes!$E:$E,MATCH(B28,keycodes!$A:$A,0),0),INDEX(keycodes!$C:$C,MATCH(B28,keycodes!$A:$A,0),0)),INDEX(keycodes!$C:$C,MATCH(B28,keycodes!$B:$B,0),0)))</f>
        <v>KC_F1</v>
      </c>
      <c r="C60" s="38" t="str">
        <f aca="false">IF(C28="",keycodes!$C$2,IF($B$1="Japanese",IF(INDEX(keycodes!$E:$E,MATCH(C28,keycodes!$A:$A,0),0)&lt;&gt;"",INDEX(keycodes!$E:$E,MATCH(C28,keycodes!$A:$A,0),0),INDEX(keycodes!$C:$C,MATCH(C28,keycodes!$A:$A,0),0)),INDEX(keycodes!$C:$C,MATCH(C28,keycodes!$B:$B,0),0)))</f>
        <v>KC_F2</v>
      </c>
      <c r="D60" s="38" t="str">
        <f aca="false">IF(D28="",keycodes!$C$2,IF($B$1="Japanese",IF(INDEX(keycodes!$E:$E,MATCH(D28,keycodes!$A:$A,0),0)&lt;&gt;"",INDEX(keycodes!$E:$E,MATCH(D28,keycodes!$A:$A,0),0),INDEX(keycodes!$C:$C,MATCH(D28,keycodes!$A:$A,0),0)),INDEX(keycodes!$C:$C,MATCH(D28,keycodes!$B:$B,0),0)))</f>
        <v>KC_F3</v>
      </c>
      <c r="E60" s="38" t="str">
        <f aca="false">IF(E28="",keycodes!$C$2,IF($B$1="Japanese",IF(INDEX(keycodes!$E:$E,MATCH(E28,keycodes!$A:$A,0),0)&lt;&gt;"",INDEX(keycodes!$E:$E,MATCH(E28,keycodes!$A:$A,0),0),INDEX(keycodes!$C:$C,MATCH(E28,keycodes!$A:$A,0),0)),INDEX(keycodes!$C:$C,MATCH(E28,keycodes!$B:$B,0),0)))</f>
        <v>KC_F4</v>
      </c>
      <c r="F60" s="38" t="str">
        <f aca="false">IF(F28="",keycodes!$C$2,IF($B$1="Japanese",IF(INDEX(keycodes!$E:$E,MATCH(F28,keycodes!$A:$A,0),0)&lt;&gt;"",INDEX(keycodes!$E:$E,MATCH(F28,keycodes!$A:$A,0),0),INDEX(keycodes!$C:$C,MATCH(F28,keycodes!$A:$A,0),0)),INDEX(keycodes!$C:$C,MATCH(F28,keycodes!$B:$B,0),0)))</f>
        <v>KC_F5</v>
      </c>
      <c r="G60" s="38" t="str">
        <f aca="false">IF(G28="",keycodes!$C$2,IF($B$1="Japanese",IF(INDEX(keycodes!$E:$E,MATCH(G28,keycodes!$A:$A,0),0)&lt;&gt;"",INDEX(keycodes!$E:$E,MATCH(G28,keycodes!$A:$A,0),0),INDEX(keycodes!$C:$C,MATCH(G28,keycodes!$A:$A,0),0)),INDEX(keycodes!$C:$C,MATCH(G28,keycodes!$B:$B,0),0)))</f>
        <v>KC_F6</v>
      </c>
      <c r="H60" s="39" t="str">
        <f aca="false">IF(H28="",keycodes!$C$2,IF($B$1="Japanese",IF(INDEX(keycodes!$E:$E,MATCH(H28,keycodes!$A:$A,0),0)&lt;&gt;"",INDEX(keycodes!$E:$E,MATCH(H28,keycodes!$A:$A,0),0),INDEX(keycodes!$C:$C,MATCH(H28,keycodes!$A:$A,0),0)),INDEX(keycodes!$C:$C,MATCH(H28,keycodes!$B:$B,0),0)))</f>
        <v>NONE</v>
      </c>
      <c r="I60" s="39" t="str">
        <f aca="false">IF(I28="",keycodes!$C$2,IF($B$1="Japanese",IF(INDEX(keycodes!$E:$E,MATCH(I28,keycodes!$A:$A,0),0)&lt;&gt;"",INDEX(keycodes!$E:$E,MATCH(I28,keycodes!$A:$A,0),0),INDEX(keycodes!$C:$C,MATCH(I28,keycodes!$A:$A,0),0)),INDEX(keycodes!$C:$C,MATCH(I28,keycodes!$B:$B,0),0)))</f>
        <v>NONE</v>
      </c>
      <c r="J60" s="38" t="str">
        <f aca="false">IF(J28="",keycodes!$C$2,IF($B$1="Japanese",IF(INDEX(keycodes!$E:$E,MATCH(J28,keycodes!$A:$A,0),0)&lt;&gt;"",INDEX(keycodes!$E:$E,MATCH(J28,keycodes!$A:$A,0),0),INDEX(keycodes!$C:$C,MATCH(J28,keycodes!$A:$A,0),0)),INDEX(keycodes!$C:$C,MATCH(J28,keycodes!$B:$B,0),0)))</f>
        <v>KC_F7</v>
      </c>
      <c r="K60" s="38" t="str">
        <f aca="false">IF(K28="",keycodes!$C$2,IF($B$1="Japanese",IF(INDEX(keycodes!$E:$E,MATCH(K28,keycodes!$A:$A,0),0)&lt;&gt;"",INDEX(keycodes!$E:$E,MATCH(K28,keycodes!$A:$A,0),0),INDEX(keycodes!$C:$C,MATCH(K28,keycodes!$A:$A,0),0)),INDEX(keycodes!$C:$C,MATCH(K28,keycodes!$B:$B,0),0)))</f>
        <v>KC_F8</v>
      </c>
      <c r="L60" s="38" t="str">
        <f aca="false">IF(L28="",keycodes!$C$2,IF($B$1="Japanese",IF(INDEX(keycodes!$E:$E,MATCH(L28,keycodes!$A:$A,0),0)&lt;&gt;"",INDEX(keycodes!$E:$E,MATCH(L28,keycodes!$A:$A,0),0),INDEX(keycodes!$C:$C,MATCH(L28,keycodes!$A:$A,0),0)),INDEX(keycodes!$C:$C,MATCH(L28,keycodes!$B:$B,0),0)))</f>
        <v>KC_F9</v>
      </c>
      <c r="M60" s="38" t="str">
        <f aca="false">IF(M28="",keycodes!$C$2,IF($B$1="Japanese",IF(INDEX(keycodes!$E:$E,MATCH(M28,keycodes!$A:$A,0),0)&lt;&gt;"",INDEX(keycodes!$E:$E,MATCH(M28,keycodes!$A:$A,0),0),INDEX(keycodes!$C:$C,MATCH(M28,keycodes!$A:$A,0),0)),INDEX(keycodes!$C:$C,MATCH(M28,keycodes!$B:$B,0),0)))</f>
        <v>KC_F10</v>
      </c>
      <c r="N60" s="38" t="str">
        <f aca="false">IF(N28="",keycodes!$C$2,IF($B$1="Japanese",IF(INDEX(keycodes!$E:$E,MATCH(N28,keycodes!$A:$A,0),0)&lt;&gt;"",INDEX(keycodes!$E:$E,MATCH(N28,keycodes!$A:$A,0),0),INDEX(keycodes!$C:$C,MATCH(N28,keycodes!$A:$A,0),0)),INDEX(keycodes!$C:$C,MATCH(N28,keycodes!$B:$B,0),0)))</f>
        <v>KC_F11</v>
      </c>
      <c r="O60" s="40" t="str">
        <f aca="false">IF(O28="",keycodes!$C$2,IF($B$1="Japanese",IF(INDEX(keycodes!$E:$E,MATCH(O28,keycodes!$A:$A,0),0)&lt;&gt;"",INDEX(keycodes!$E:$E,MATCH(O28,keycodes!$A:$A,0),0),INDEX(keycodes!$C:$C,MATCH(O28,keycodes!$A:$A,0),0)),INDEX(keycodes!$C:$C,MATCH(O28,keycodes!$B:$B,0),0)))</f>
        <v>KC_F12</v>
      </c>
    </row>
    <row r="61" customFormat="false" ht="21" hidden="false" customHeight="true" outlineLevel="0" collapsed="false">
      <c r="A61" s="30"/>
      <c r="B61" s="41" t="str">
        <f aca="false">IF(B29="",keycodes!$C$2,IF($B$1="Japanese",IF(INDEX(keycodes!$E:$E,MATCH(B29,keycodes!$A:$A,0),0)&lt;&gt;"",INDEX(keycodes!$E:$E,MATCH(B29,keycodes!$A:$A,0),0),INDEX(keycodes!$C:$C,MATCH(B29,keycodes!$A:$A,0),0)),INDEX(keycodes!$C:$C,MATCH(B29,keycodes!$B:$B,0),0)))</f>
        <v>XXXXXXX</v>
      </c>
      <c r="C61" s="41" t="str">
        <f aca="false">IF(C29="",keycodes!$C$2,IF($B$1="Japanese",IF(INDEX(keycodes!$E:$E,MATCH(C29,keycodes!$A:$A,0),0)&lt;&gt;"",INDEX(keycodes!$E:$E,MATCH(C29,keycodes!$A:$A,0),0),INDEX(keycodes!$C:$C,MATCH(C29,keycodes!$A:$A,0),0)),INDEX(keycodes!$C:$C,MATCH(C29,keycodes!$B:$B,0),0)))</f>
        <v>XXXXXXX</v>
      </c>
      <c r="D61" s="41" t="str">
        <f aca="false">IF(D29="",keycodes!$C$2,IF($B$1="Japanese",IF(INDEX(keycodes!$E:$E,MATCH(D29,keycodes!$A:$A,0),0)&lt;&gt;"",INDEX(keycodes!$E:$E,MATCH(D29,keycodes!$A:$A,0),0),INDEX(keycodes!$C:$C,MATCH(D29,keycodes!$A:$A,0),0)),INDEX(keycodes!$C:$C,MATCH(D29,keycodes!$B:$B,0),0)))</f>
        <v>XXXXXXX</v>
      </c>
      <c r="E61" s="41" t="str">
        <f aca="false">IF(E29="",keycodes!$C$2,IF($B$1="Japanese",IF(INDEX(keycodes!$E:$E,MATCH(E29,keycodes!$A:$A,0),0)&lt;&gt;"",INDEX(keycodes!$E:$E,MATCH(E29,keycodes!$A:$A,0),0),INDEX(keycodes!$C:$C,MATCH(E29,keycodes!$A:$A,0),0)),INDEX(keycodes!$C:$C,MATCH(E29,keycodes!$B:$B,0),0)))</f>
        <v>XXXXXXX</v>
      </c>
      <c r="F61" s="41" t="str">
        <f aca="false">IF(F29="",keycodes!$C$2,IF($B$1="Japanese",IF(INDEX(keycodes!$E:$E,MATCH(F29,keycodes!$A:$A,0),0)&lt;&gt;"",INDEX(keycodes!$E:$E,MATCH(F29,keycodes!$A:$A,0),0),INDEX(keycodes!$C:$C,MATCH(F29,keycodes!$A:$A,0),0)),INDEX(keycodes!$C:$C,MATCH(F29,keycodes!$B:$B,0),0)))</f>
        <v>XXXXXXX</v>
      </c>
      <c r="G61" s="41" t="str">
        <f aca="false">IF(G29="",keycodes!$C$2,IF($B$1="Japanese",IF(INDEX(keycodes!$E:$E,MATCH(G29,keycodes!$A:$A,0),0)&lt;&gt;"",INDEX(keycodes!$E:$E,MATCH(G29,keycodes!$A:$A,0),0),INDEX(keycodes!$C:$C,MATCH(G29,keycodes!$A:$A,0),0)),INDEX(keycodes!$C:$C,MATCH(G29,keycodes!$B:$B,0),0)))</f>
        <v>XXXXXXX</v>
      </c>
      <c r="H61" s="42" t="str">
        <f aca="false">IF(H29="",keycodes!$C$2,IF($B$1="Japanese",IF(INDEX(keycodes!$E:$E,MATCH(H29,keycodes!$A:$A,0),0)&lt;&gt;"",INDEX(keycodes!$E:$E,MATCH(H29,keycodes!$A:$A,0),0),INDEX(keycodes!$C:$C,MATCH(H29,keycodes!$A:$A,0),0)),INDEX(keycodes!$C:$C,MATCH(H29,keycodes!$B:$B,0),0)))</f>
        <v>NONE</v>
      </c>
      <c r="I61" s="42" t="str">
        <f aca="false">IF(I29="",keycodes!$C$2,IF($B$1="Japanese",IF(INDEX(keycodes!$E:$E,MATCH(I29,keycodes!$A:$A,0),0)&lt;&gt;"",INDEX(keycodes!$E:$E,MATCH(I29,keycodes!$A:$A,0),0),INDEX(keycodes!$C:$C,MATCH(I29,keycodes!$A:$A,0),0)),INDEX(keycodes!$C:$C,MATCH(I29,keycodes!$B:$B,0),0)))</f>
        <v>NONE</v>
      </c>
      <c r="J61" s="41" t="str">
        <f aca="false">IF(J29="",keycodes!$C$2,IF($B$1="Japanese",IF(INDEX(keycodes!$E:$E,MATCH(J29,keycodes!$A:$A,0),0)&lt;&gt;"",INDEX(keycodes!$E:$E,MATCH(J29,keycodes!$A:$A,0),0),INDEX(keycodes!$C:$C,MATCH(J29,keycodes!$A:$A,0),0)),INDEX(keycodes!$C:$C,MATCH(J29,keycodes!$B:$B,0),0)))</f>
        <v>XXXXXXX</v>
      </c>
      <c r="K61" s="41" t="str">
        <f aca="false">IF(K29="",keycodes!$C$2,IF($B$1="Japanese",IF(INDEX(keycodes!$E:$E,MATCH(K29,keycodes!$A:$A,0),0)&lt;&gt;"",INDEX(keycodes!$E:$E,MATCH(K29,keycodes!$A:$A,0),0),INDEX(keycodes!$C:$C,MATCH(K29,keycodes!$A:$A,0),0)),INDEX(keycodes!$C:$C,MATCH(K29,keycodes!$B:$B,0),0)))</f>
        <v>XXXXXXX</v>
      </c>
      <c r="L61" s="41" t="str">
        <f aca="false">IF(L29="",keycodes!$C$2,IF($B$1="Japanese",IF(INDEX(keycodes!$E:$E,MATCH(L29,keycodes!$A:$A,0),0)&lt;&gt;"",INDEX(keycodes!$E:$E,MATCH(L29,keycodes!$A:$A,0),0),INDEX(keycodes!$C:$C,MATCH(L29,keycodes!$A:$A,0),0)),INDEX(keycodes!$C:$C,MATCH(L29,keycodes!$B:$B,0),0)))</f>
        <v>XXXXXXX</v>
      </c>
      <c r="M61" s="41" t="str">
        <f aca="false">IF(M29="",keycodes!$C$2,IF($B$1="Japanese",IF(INDEX(keycodes!$E:$E,MATCH(M29,keycodes!$A:$A,0),0)&lt;&gt;"",INDEX(keycodes!$E:$E,MATCH(M29,keycodes!$A:$A,0),0),INDEX(keycodes!$C:$C,MATCH(M29,keycodes!$A:$A,0),0)),INDEX(keycodes!$C:$C,MATCH(M29,keycodes!$B:$B,0),0)))</f>
        <v>XXXXXXX</v>
      </c>
      <c r="N61" s="41" t="str">
        <f aca="false">IF(N29="",keycodes!$C$2,IF($B$1="Japanese",IF(INDEX(keycodes!$E:$E,MATCH(N29,keycodes!$A:$A,0),0)&lt;&gt;"",INDEX(keycodes!$E:$E,MATCH(N29,keycodes!$A:$A,0),0),INDEX(keycodes!$C:$C,MATCH(N29,keycodes!$A:$A,0),0)),INDEX(keycodes!$C:$C,MATCH(N29,keycodes!$B:$B,0),0)))</f>
        <v>XXXXXXX</v>
      </c>
      <c r="O61" s="43" t="str">
        <f aca="false">IF(O29="",keycodes!$C$2,IF($B$1="Japanese",IF(INDEX(keycodes!$E:$E,MATCH(O29,keycodes!$A:$A,0),0)&lt;&gt;"",INDEX(keycodes!$E:$E,MATCH(O29,keycodes!$A:$A,0),0),INDEX(keycodes!$C:$C,MATCH(O29,keycodes!$A:$A,0),0)),INDEX(keycodes!$C:$C,MATCH(O29,keycodes!$B:$B,0),0)))</f>
        <v>XXXXXXX</v>
      </c>
    </row>
    <row r="62" customFormat="false" ht="21" hidden="false" customHeight="true" outlineLevel="0" collapsed="false">
      <c r="A62" s="30"/>
      <c r="B62" s="41" t="str">
        <f aca="false">IF(B30="",keycodes!$C$2,IF($B$1="Japanese",IF(INDEX(keycodes!$E:$E,MATCH(B30,keycodes!$A:$A,0),0)&lt;&gt;"",INDEX(keycodes!$E:$E,MATCH(B30,keycodes!$A:$A,0),0),INDEX(keycodes!$C:$C,MATCH(B30,keycodes!$A:$A,0),0)),INDEX(keycodes!$C:$C,MATCH(B30,keycodes!$B:$B,0),0)))</f>
        <v>XXXXXXX</v>
      </c>
      <c r="C62" s="41" t="str">
        <f aca="false">IF(C30="",keycodes!$C$2,IF($B$1="Japanese",IF(INDEX(keycodes!$E:$E,MATCH(C30,keycodes!$A:$A,0),0)&lt;&gt;"",INDEX(keycodes!$E:$E,MATCH(C30,keycodes!$A:$A,0),0),INDEX(keycodes!$C:$C,MATCH(C30,keycodes!$A:$A,0),0)),INDEX(keycodes!$C:$C,MATCH(C30,keycodes!$B:$B,0),0)))</f>
        <v>KC_1</v>
      </c>
      <c r="D62" s="41" t="str">
        <f aca="false">IF(D30="",keycodes!$C$2,IF($B$1="Japanese",IF(INDEX(keycodes!$E:$E,MATCH(D30,keycodes!$A:$A,0),0)&lt;&gt;"",INDEX(keycodes!$E:$E,MATCH(D30,keycodes!$A:$A,0),0),INDEX(keycodes!$C:$C,MATCH(D30,keycodes!$A:$A,0),0)),INDEX(keycodes!$C:$C,MATCH(D30,keycodes!$B:$B,0),0)))</f>
        <v>KC_2</v>
      </c>
      <c r="E62" s="41" t="str">
        <f aca="false">IF(E30="",keycodes!$C$2,IF($B$1="Japanese",IF(INDEX(keycodes!$E:$E,MATCH(E30,keycodes!$A:$A,0),0)&lt;&gt;"",INDEX(keycodes!$E:$E,MATCH(E30,keycodes!$A:$A,0),0),INDEX(keycodes!$C:$C,MATCH(E30,keycodes!$A:$A,0),0)),INDEX(keycodes!$C:$C,MATCH(E30,keycodes!$B:$B,0),0)))</f>
        <v>KC_3</v>
      </c>
      <c r="F62" s="41" t="str">
        <f aca="false">IF(F30="",keycodes!$C$2,IF($B$1="Japanese",IF(INDEX(keycodes!$E:$E,MATCH(F30,keycodes!$A:$A,0),0)&lt;&gt;"",INDEX(keycodes!$E:$E,MATCH(F30,keycodes!$A:$A,0),0),INDEX(keycodes!$C:$C,MATCH(F30,keycodes!$A:$A,0),0)),INDEX(keycodes!$C:$C,MATCH(F30,keycodes!$B:$B,0),0)))</f>
        <v>KC_4</v>
      </c>
      <c r="G62" s="41" t="str">
        <f aca="false">IF(G30="",keycodes!$C$2,IF($B$1="Japanese",IF(INDEX(keycodes!$E:$E,MATCH(G30,keycodes!$A:$A,0),0)&lt;&gt;"",INDEX(keycodes!$E:$E,MATCH(G30,keycodes!$A:$A,0),0),INDEX(keycodes!$C:$C,MATCH(G30,keycodes!$A:$A,0),0)),INDEX(keycodes!$C:$C,MATCH(G30,keycodes!$B:$B,0),0)))</f>
        <v>KC_5</v>
      </c>
      <c r="H62" s="42" t="str">
        <f aca="false">IF(H30="",keycodes!$C$2,IF($B$1="Japanese",IF(INDEX(keycodes!$E:$E,MATCH(H30,keycodes!$A:$A,0),0)&lt;&gt;"",INDEX(keycodes!$E:$E,MATCH(H30,keycodes!$A:$A,0),0),INDEX(keycodes!$C:$C,MATCH(H30,keycodes!$A:$A,0),0)),INDEX(keycodes!$C:$C,MATCH(H30,keycodes!$B:$B,0),0)))</f>
        <v>NONE</v>
      </c>
      <c r="I62" s="42" t="str">
        <f aca="false">IF(I30="",keycodes!$C$2,IF($B$1="Japanese",IF(INDEX(keycodes!$E:$E,MATCH(I30,keycodes!$A:$A,0),0)&lt;&gt;"",INDEX(keycodes!$E:$E,MATCH(I30,keycodes!$A:$A,0),0),INDEX(keycodes!$C:$C,MATCH(I30,keycodes!$A:$A,0),0)),INDEX(keycodes!$C:$C,MATCH(I30,keycodes!$B:$B,0),0)))</f>
        <v>NONE</v>
      </c>
      <c r="J62" s="41" t="str">
        <f aca="false">IF(J30="",keycodes!$C$2,IF($B$1="Japanese",IF(INDEX(keycodes!$E:$E,MATCH(J30,keycodes!$A:$A,0),0)&lt;&gt;"",INDEX(keycodes!$E:$E,MATCH(J30,keycodes!$A:$A,0),0),INDEX(keycodes!$C:$C,MATCH(J30,keycodes!$A:$A,0),0)),INDEX(keycodes!$C:$C,MATCH(J30,keycodes!$B:$B,0),0)))</f>
        <v>KC_6</v>
      </c>
      <c r="K62" s="41" t="str">
        <f aca="false">IF(K30="",keycodes!$C$2,IF($B$1="Japanese",IF(INDEX(keycodes!$E:$E,MATCH(K30,keycodes!$A:$A,0),0)&lt;&gt;"",INDEX(keycodes!$E:$E,MATCH(K30,keycodes!$A:$A,0),0),INDEX(keycodes!$C:$C,MATCH(K30,keycodes!$A:$A,0),0)),INDEX(keycodes!$C:$C,MATCH(K30,keycodes!$B:$B,0),0)))</f>
        <v>KC_7</v>
      </c>
      <c r="L62" s="41" t="str">
        <f aca="false">IF(L30="",keycodes!$C$2,IF($B$1="Japanese",IF(INDEX(keycodes!$E:$E,MATCH(L30,keycodes!$A:$A,0),0)&lt;&gt;"",INDEX(keycodes!$E:$E,MATCH(L30,keycodes!$A:$A,0),0),INDEX(keycodes!$C:$C,MATCH(L30,keycodes!$A:$A,0),0)),INDEX(keycodes!$C:$C,MATCH(L30,keycodes!$B:$B,0),0)))</f>
        <v>KC_8</v>
      </c>
      <c r="M62" s="41" t="str">
        <f aca="false">IF(M30="",keycodes!$C$2,IF($B$1="Japanese",IF(INDEX(keycodes!$E:$E,MATCH(M30,keycodes!$A:$A,0),0)&lt;&gt;"",INDEX(keycodes!$E:$E,MATCH(M30,keycodes!$A:$A,0),0),INDEX(keycodes!$C:$C,MATCH(M30,keycodes!$A:$A,0),0)),INDEX(keycodes!$C:$C,MATCH(M30,keycodes!$B:$B,0),0)))</f>
        <v>KC_9</v>
      </c>
      <c r="N62" s="41" t="str">
        <f aca="false">IF(N30="",keycodes!$C$2,IF($B$1="Japanese",IF(INDEX(keycodes!$E:$E,MATCH(N30,keycodes!$A:$A,0),0)&lt;&gt;"",INDEX(keycodes!$E:$E,MATCH(N30,keycodes!$A:$A,0),0),INDEX(keycodes!$C:$C,MATCH(N30,keycodes!$A:$A,0),0)),INDEX(keycodes!$C:$C,MATCH(N30,keycodes!$B:$B,0),0)))</f>
        <v>KC_0</v>
      </c>
      <c r="O62" s="43" t="str">
        <f aca="false">IF(O30="",keycodes!$C$2,IF($B$1="Japanese",IF(INDEX(keycodes!$E:$E,MATCH(O30,keycodes!$A:$A,0),0)&lt;&gt;"",INDEX(keycodes!$E:$E,MATCH(O30,keycodes!$A:$A,0),0),INDEX(keycodes!$C:$C,MATCH(O30,keycodes!$A:$A,0),0)),INDEX(keycodes!$C:$C,MATCH(O30,keycodes!$B:$B,0),0)))</f>
        <v>_______</v>
      </c>
    </row>
    <row r="63" customFormat="false" ht="21" hidden="false" customHeight="true" outlineLevel="0" collapsed="false">
      <c r="A63" s="30"/>
      <c r="B63" s="41" t="str">
        <f aca="false">IF(B31="",keycodes!$C$2,IF($B$1="Japanese",IF(INDEX(keycodes!$E:$E,MATCH(B31,keycodes!$A:$A,0),0)&lt;&gt;"",INDEX(keycodes!$E:$E,MATCH(B31,keycodes!$A:$A,0),0),INDEX(keycodes!$C:$C,MATCH(B31,keycodes!$A:$A,0),0)),INDEX(keycodes!$C:$C,MATCH(B31,keycodes!$B:$B,0),0)))</f>
        <v>_______</v>
      </c>
      <c r="C63" s="41" t="str">
        <f aca="false">IF(C31="",keycodes!$C$2,IF($B$1="Japanese",IF(INDEX(keycodes!$E:$E,MATCH(C31,keycodes!$A:$A,0),0)&lt;&gt;"",INDEX(keycodes!$E:$E,MATCH(C31,keycodes!$A:$A,0),0),INDEX(keycodes!$C:$C,MATCH(C31,keycodes!$A:$A,0),0)),INDEX(keycodes!$C:$C,MATCH(C31,keycodes!$B:$B,0),0)))</f>
        <v>_______</v>
      </c>
      <c r="D63" s="41" t="str">
        <f aca="false">IF(D31="",keycodes!$C$2,IF($B$1="Japanese",IF(INDEX(keycodes!$E:$E,MATCH(D31,keycodes!$A:$A,0),0)&lt;&gt;"",INDEX(keycodes!$E:$E,MATCH(D31,keycodes!$A:$A,0),0),INDEX(keycodes!$C:$C,MATCH(D31,keycodes!$A:$A,0),0)),INDEX(keycodes!$C:$C,MATCH(D31,keycodes!$B:$B,0),0)))</f>
        <v>KC_VOLD</v>
      </c>
      <c r="E63" s="41" t="str">
        <f aca="false">IF(E31="",keycodes!$C$2,IF($B$1="Japanese",IF(INDEX(keycodes!$E:$E,MATCH(E31,keycodes!$A:$A,0),0)&lt;&gt;"",INDEX(keycodes!$E:$E,MATCH(E31,keycodes!$A:$A,0),0),INDEX(keycodes!$C:$C,MATCH(E31,keycodes!$A:$A,0),0)),INDEX(keycodes!$C:$C,MATCH(E31,keycodes!$B:$B,0),0)))</f>
        <v>KC_VOLU</v>
      </c>
      <c r="F63" s="41" t="str">
        <f aca="false">IF(F31="",keycodes!$C$2,IF($B$1="Japanese",IF(INDEX(keycodes!$E:$E,MATCH(F31,keycodes!$A:$A,0),0)&lt;&gt;"",INDEX(keycodes!$E:$E,MATCH(F31,keycodes!$A:$A,0),0),INDEX(keycodes!$C:$C,MATCH(F31,keycodes!$A:$A,0),0)),INDEX(keycodes!$C:$C,MATCH(F31,keycodes!$B:$B,0),0)))</f>
        <v>_______</v>
      </c>
      <c r="G63" s="41" t="str">
        <f aca="false">IF(G31="",keycodes!$C$2,IF($B$1="Japanese",IF(INDEX(keycodes!$E:$E,MATCH(G31,keycodes!$A:$A,0),0)&lt;&gt;"",INDEX(keycodes!$E:$E,MATCH(G31,keycodes!$A:$A,0),0),INDEX(keycodes!$C:$C,MATCH(G31,keycodes!$A:$A,0),0)),INDEX(keycodes!$C:$C,MATCH(G31,keycodes!$B:$B,0),0)))</f>
        <v>_______</v>
      </c>
      <c r="H63" s="41" t="str">
        <f aca="false">IF(H31="",keycodes!$C$2,IF($B$1="Japanese",IF(INDEX(keycodes!$E:$E,MATCH(H31,keycodes!$A:$A,0),0)&lt;&gt;"",INDEX(keycodes!$E:$E,MATCH(H31,keycodes!$A:$A,0),0),INDEX(keycodes!$C:$C,MATCH(H31,keycodes!$A:$A,0),0)),INDEX(keycodes!$C:$C,MATCH(H31,keycodes!$B:$B,0),0)))</f>
        <v>_______</v>
      </c>
      <c r="I63" s="41" t="str">
        <f aca="false">IF(I31="",keycodes!$C$2,IF($B$1="Japanese",IF(INDEX(keycodes!$E:$E,MATCH(I31,keycodes!$A:$A,0),0)&lt;&gt;"",INDEX(keycodes!$E:$E,MATCH(I31,keycodes!$A:$A,0),0),INDEX(keycodes!$C:$C,MATCH(I31,keycodes!$A:$A,0),0)),INDEX(keycodes!$C:$C,MATCH(I31,keycodes!$B:$B,0),0)))</f>
        <v>_______</v>
      </c>
      <c r="J63" s="41" t="str">
        <f aca="false">IF(J31="",keycodes!$C$2,IF($B$1="Japanese",IF(INDEX(keycodes!$E:$E,MATCH(J31,keycodes!$A:$A,0),0)&lt;&gt;"",INDEX(keycodes!$E:$E,MATCH(J31,keycodes!$A:$A,0),0),INDEX(keycodes!$C:$C,MATCH(J31,keycodes!$A:$A,0),0)),INDEX(keycodes!$C:$C,MATCH(J31,keycodes!$B:$B,0),0)))</f>
        <v>_______</v>
      </c>
      <c r="K63" s="41" t="str">
        <f aca="false">IF(K31="",keycodes!$C$2,IF($B$1="Japanese",IF(INDEX(keycodes!$E:$E,MATCH(K31,keycodes!$A:$A,0),0)&lt;&gt;"",INDEX(keycodes!$E:$E,MATCH(K31,keycodes!$A:$A,0),0),INDEX(keycodes!$C:$C,MATCH(K31,keycodes!$A:$A,0),0)),INDEX(keycodes!$C:$C,MATCH(K31,keycodes!$B:$B,0),0)))</f>
        <v>_______</v>
      </c>
      <c r="L63" s="41" t="str">
        <f aca="false">IF(L31="",keycodes!$C$2,IF($B$1="Japanese",IF(INDEX(keycodes!$E:$E,MATCH(L31,keycodes!$A:$A,0),0)&lt;&gt;"",INDEX(keycodes!$E:$E,MATCH(L31,keycodes!$A:$A,0),0),INDEX(keycodes!$C:$C,MATCH(L31,keycodes!$A:$A,0),0)),INDEX(keycodes!$C:$C,MATCH(L31,keycodes!$B:$B,0),0)))</f>
        <v>KC_COMM</v>
      </c>
      <c r="M63" s="41" t="str">
        <f aca="false">IF(M31="",keycodes!$C$2,IF($B$1="Japanese",IF(INDEX(keycodes!$E:$E,MATCH(M31,keycodes!$A:$A,0),0)&lt;&gt;"",INDEX(keycodes!$E:$E,MATCH(M31,keycodes!$A:$A,0),0),INDEX(keycodes!$C:$C,MATCH(M31,keycodes!$A:$A,0),0)),INDEX(keycodes!$C:$C,MATCH(M31,keycodes!$B:$B,0),0)))</f>
        <v>KC_DOT</v>
      </c>
      <c r="N63" s="41" t="str">
        <f aca="false">IF(N31="",keycodes!$C$2,IF($B$1="Japanese",IF(INDEX(keycodes!$E:$E,MATCH(N31,keycodes!$A:$A,0),0)&lt;&gt;"",INDEX(keycodes!$E:$E,MATCH(N31,keycodes!$A:$A,0),0),INDEX(keycodes!$C:$C,MATCH(N31,keycodes!$A:$A,0),0)),INDEX(keycodes!$C:$C,MATCH(N31,keycodes!$B:$B,0),0)))</f>
        <v>KC_SLSH</v>
      </c>
      <c r="O63" s="43" t="str">
        <f aca="false">IF(O31="",keycodes!$C$2,IF($B$1="Japanese",IF(INDEX(keycodes!$E:$E,MATCH(O31,keycodes!$A:$A,0),0)&lt;&gt;"",INDEX(keycodes!$E:$E,MATCH(O31,keycodes!$A:$A,0),0),INDEX(keycodes!$C:$C,MATCH(O31,keycodes!$A:$A,0),0)),INDEX(keycodes!$C:$C,MATCH(O31,keycodes!$B:$B,0),0)))</f>
        <v>KC_INT1</v>
      </c>
    </row>
    <row r="64" customFormat="false" ht="21" hidden="false" customHeight="true" outlineLevel="0" collapsed="false">
      <c r="A64" s="34"/>
      <c r="B64" s="44" t="str">
        <f aca="false">IF(B32="",keycodes!$C$2,IF($B$1="Japanese",IF(INDEX(keycodes!$E:$E,MATCH(B32,keycodes!$A:$A,0),0)&lt;&gt;"",INDEX(keycodes!$E:$E,MATCH(B32,keycodes!$A:$A,0),0),INDEX(keycodes!$C:$C,MATCH(B32,keycodes!$A:$A,0),0)),INDEX(keycodes!$C:$C,MATCH(B32,keycodes!$B:$B,0),0)))</f>
        <v>NONE</v>
      </c>
      <c r="C64" s="44" t="str">
        <f aca="false">IF(C32="",keycodes!$C$2,IF($B$1="Japanese",IF(INDEX(keycodes!$E:$E,MATCH(C32,keycodes!$A:$A,0),0)&lt;&gt;"",INDEX(keycodes!$E:$E,MATCH(C32,keycodes!$A:$A,0),0),INDEX(keycodes!$C:$C,MATCH(C32,keycodes!$A:$A,0),0)),INDEX(keycodes!$C:$C,MATCH(C32,keycodes!$B:$B,0),0)))</f>
        <v>NONE</v>
      </c>
      <c r="D64" s="44" t="str">
        <f aca="false">IF(D32="",keycodes!$C$2,IF($B$1="Japanese",IF(INDEX(keycodes!$E:$E,MATCH(D32,keycodes!$A:$A,0),0)&lt;&gt;"",INDEX(keycodes!$E:$E,MATCH(D32,keycodes!$A:$A,0),0),INDEX(keycodes!$C:$C,MATCH(D32,keycodes!$A:$A,0),0)),INDEX(keycodes!$C:$C,MATCH(D32,keycodes!$B:$B,0),0)))</f>
        <v>NONE</v>
      </c>
      <c r="E64" s="45" t="str">
        <f aca="false">IF(E32="",keycodes!$C$2,IF($B$1="Japanese",IF(INDEX(keycodes!$E:$E,MATCH(E32,keycodes!$A:$A,0),0)&lt;&gt;"",INDEX(keycodes!$E:$E,MATCH(E32,keycodes!$A:$A,0),0),INDEX(keycodes!$C:$C,MATCH(E32,keycodes!$A:$A,0),0)),INDEX(keycodes!$C:$C,MATCH(E32,keycodes!$B:$B,0),0)))</f>
        <v>_______</v>
      </c>
      <c r="F64" s="45" t="str">
        <f aca="false">IF(F32="",keycodes!$C$2,IF($B$1="Japanese",IF(INDEX(keycodes!$E:$E,MATCH(F32,keycodes!$A:$A,0),0)&lt;&gt;"",INDEX(keycodes!$E:$E,MATCH(F32,keycodes!$A:$A,0),0),INDEX(keycodes!$C:$C,MATCH(F32,keycodes!$A:$A,0),0)),INDEX(keycodes!$C:$C,MATCH(F32,keycodes!$B:$B,0),0)))</f>
        <v>_______</v>
      </c>
      <c r="G64" s="45" t="str">
        <f aca="false">IF(G32="",keycodes!$C$2,IF($B$1="Japanese",IF(INDEX(keycodes!$E:$E,MATCH(G32,keycodes!$A:$A,0),0)&lt;&gt;"",INDEX(keycodes!$E:$E,MATCH(G32,keycodes!$A:$A,0),0),INDEX(keycodes!$C:$C,MATCH(G32,keycodes!$A:$A,0),0)),INDEX(keycodes!$C:$C,MATCH(G32,keycodes!$B:$B,0),0)))</f>
        <v>_______</v>
      </c>
      <c r="H64" s="45" t="str">
        <f aca="false">IF(H32="",keycodes!$C$2,IF($B$1="Japanese",IF(INDEX(keycodes!$E:$E,MATCH(H32,keycodes!$A:$A,0),0)&lt;&gt;"",INDEX(keycodes!$E:$E,MATCH(H32,keycodes!$A:$A,0),0),INDEX(keycodes!$C:$C,MATCH(H32,keycodes!$A:$A,0),0)),INDEX(keycodes!$C:$C,MATCH(H32,keycodes!$B:$B,0),0)))</f>
        <v>_______</v>
      </c>
      <c r="I64" s="45" t="str">
        <f aca="false">IF(I32="",keycodes!$C$2,IF($B$1="Japanese",IF(INDEX(keycodes!$E:$E,MATCH(I32,keycodes!$A:$A,0),0)&lt;&gt;"",INDEX(keycodes!$E:$E,MATCH(I32,keycodes!$A:$A,0),0),INDEX(keycodes!$C:$C,MATCH(I32,keycodes!$A:$A,0),0)),INDEX(keycodes!$C:$C,MATCH(I32,keycodes!$B:$B,0),0)))</f>
        <v>_______</v>
      </c>
      <c r="J64" s="45" t="str">
        <f aca="false">IF(J32="",keycodes!$C$2,IF($B$1="Japanese",IF(INDEX(keycodes!$E:$E,MATCH(J32,keycodes!$A:$A,0),0)&lt;&gt;"",INDEX(keycodes!$E:$E,MATCH(J32,keycodes!$A:$A,0),0),INDEX(keycodes!$C:$C,MATCH(J32,keycodes!$A:$A,0),0)),INDEX(keycodes!$C:$C,MATCH(J32,keycodes!$B:$B,0),0)))</f>
        <v>_______</v>
      </c>
      <c r="K64" s="45" t="str">
        <f aca="false">IF(K32="",keycodes!$C$2,IF($B$1="Japanese",IF(INDEX(keycodes!$E:$E,MATCH(K32,keycodes!$A:$A,0),0)&lt;&gt;"",INDEX(keycodes!$E:$E,MATCH(K32,keycodes!$A:$A,0),0),INDEX(keycodes!$C:$C,MATCH(K32,keycodes!$A:$A,0),0)),INDEX(keycodes!$C:$C,MATCH(K32,keycodes!$B:$B,0),0)))</f>
        <v>_______</v>
      </c>
      <c r="L64" s="45" t="str">
        <f aca="false">IF(L32="",keycodes!$C$2,IF($B$1="Japanese",IF(INDEX(keycodes!$E:$E,MATCH(L32,keycodes!$A:$A,0),0)&lt;&gt;"",INDEX(keycodes!$E:$E,MATCH(L32,keycodes!$A:$A,0),0),INDEX(keycodes!$C:$C,MATCH(L32,keycodes!$A:$A,0),0)),INDEX(keycodes!$C:$C,MATCH(L32,keycodes!$B:$B,0),0)))</f>
        <v>_______</v>
      </c>
      <c r="M64" s="44" t="str">
        <f aca="false">IF(M32="",keycodes!$C$2,IF($B$1="Japanese",IF(INDEX(keycodes!$E:$E,MATCH(M32,keycodes!$A:$A,0),0)&lt;&gt;"",INDEX(keycodes!$E:$E,MATCH(M32,keycodes!$A:$A,0),0),INDEX(keycodes!$C:$C,MATCH(M32,keycodes!$A:$A,0),0)),INDEX(keycodes!$C:$C,MATCH(M32,keycodes!$B:$B,0),0)))</f>
        <v>TERM</v>
      </c>
      <c r="N64" s="44" t="str">
        <f aca="false">IF(N32="",keycodes!$C$2,IF($B$1="Japanese",IF(INDEX(keycodes!$E:$E,MATCH(N32,keycodes!$A:$A,0),0)&lt;&gt;"",INDEX(keycodes!$E:$E,MATCH(N32,keycodes!$A:$A,0),0),INDEX(keycodes!$C:$C,MATCH(N32,keycodes!$A:$A,0),0)),INDEX(keycodes!$C:$C,MATCH(N32,keycodes!$B:$B,0),0)))</f>
        <v>TERM</v>
      </c>
      <c r="O64" s="46" t="str">
        <f aca="false">IF(O32="",keycodes!$C$2,IF($B$1="Japanese",IF(INDEX(keycodes!$E:$E,MATCH(O32,keycodes!$A:$A,0),0)&lt;&gt;"",INDEX(keycodes!$E:$E,MATCH(O32,keycodes!$A:$A,0),0),INDEX(keycodes!$C:$C,MATCH(O32,keycodes!$A:$A,0),0)),INDEX(keycodes!$C:$C,MATCH(O32,keycodes!$B:$B,0),0)))</f>
        <v>TERM</v>
      </c>
    </row>
    <row r="65" customFormat="false" ht="21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customFormat="false" ht="21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customFormat="false" ht="21" hidden="false" customHeight="true" outlineLevel="0" collapsed="false">
      <c r="A67" s="26" t="s">
        <v>316</v>
      </c>
      <c r="B67" s="38" t="str">
        <f aca="false">IF(B35="TERM","",IF(B35="NONE",REPT(" ",17),REPT(" ",15-LEN(B35))&amp;B35))&amp;IF(OR(B35="TERM",B35="NONE"),"",IF(C35="TERM","",IF(C35="",",",", ")))</f>
        <v>         KC_ESC, </v>
      </c>
      <c r="C67" s="38" t="str">
        <f aca="false">IF(C35="TERM","",IF(C35="NONE",REPT(" ",17),REPT(" ",15-LEN(C35))&amp;C35))&amp;IF(OR(C35="TERM",C35="NONE"),"",IF(D35="TERM","",IF(D35="",",",", ")))</f>
        <v>           KC_1, </v>
      </c>
      <c r="D67" s="38" t="str">
        <f aca="false">IF(D35="TERM","",IF(D35="NONE",REPT(" ",17),REPT(" ",15-LEN(D35))&amp;D35))&amp;IF(OR(D35="TERM",D35="NONE"),"",IF(E35="TERM","",IF(E35="",",",", ")))</f>
        <v>           KC_2, </v>
      </c>
      <c r="E67" s="38" t="str">
        <f aca="false">IF(E35="TERM","",IF(E35="NONE",REPT(" ",17),REPT(" ",15-LEN(E35))&amp;E35))&amp;IF(OR(E35="TERM",E35="NONE"),"",IF(F35="TERM","",IF(F35="",",",", ")))</f>
        <v>           KC_3, </v>
      </c>
      <c r="F67" s="38" t="str">
        <f aca="false">IF(F35="TERM","",IF(F35="NONE",REPT(" ",17),REPT(" ",15-LEN(F35))&amp;F35))&amp;IF(OR(F35="TERM",F35="NONE"),"",IF(G35="TERM","",IF(G35="",",",", ")))</f>
        <v>           KC_4, </v>
      </c>
      <c r="G67" s="38" t="str">
        <f aca="false">IF(G35="TERM","",IF(G35="NONE",REPT(" ",17),REPT(" ",15-LEN(G35))&amp;G35))&amp;IF(OR(G35="TERM",G35="NONE"),"",IF(H35="TERM","",IF(H35="",",",", ")))</f>
        <v>           KC_5, </v>
      </c>
      <c r="H67" s="39" t="str">
        <f aca="false">IF(H35="TERM","",IF(H35="NONE",REPT(" ",17),REPT(" ",15-LEN(H35))&amp;H35))&amp;IF(OR(H35="TERM",H35="NONE"),"",IF(I35="TERM","",IF(I35="",",",", ")))</f>
        <v>                 </v>
      </c>
      <c r="I67" s="39" t="str">
        <f aca="false">IF(I35="TERM","",IF(I35="NONE",REPT(" ",17),REPT(" ",15-LEN(I35))&amp;I35))&amp;IF(OR(I35="TERM",I35="NONE"),"",IF(J35="TERM","",IF(J35="",",",", ")))</f>
        <v>                 </v>
      </c>
      <c r="J67" s="38" t="str">
        <f aca="false">IF(J35="TERM","",IF(J35="NONE",REPT(" ",17),REPT(" ",15-LEN(J35))&amp;J35))&amp;IF(OR(J35="TERM",J35="NONE"),"",IF(K35="TERM","",IF(K35="",",",", ")))</f>
        <v>           KC_6, </v>
      </c>
      <c r="K67" s="38" t="str">
        <f aca="false">IF(K35="TERM","",IF(K35="NONE",REPT(" ",17),REPT(" ",15-LEN(K35))&amp;K35))&amp;IF(OR(K35="TERM",K35="NONE"),"",IF(L35="TERM","",IF(L35="",",",", ")))</f>
        <v>           KC_7, </v>
      </c>
      <c r="L67" s="38" t="str">
        <f aca="false">IF(L35="TERM","",IF(L35="NONE",REPT(" ",17),REPT(" ",15-LEN(L35))&amp;L35))&amp;IF(OR(L35="TERM",L35="NONE"),"",IF(M35="TERM","",IF(M35="",",",", ")))</f>
        <v>           KC_8, </v>
      </c>
      <c r="M67" s="38" t="str">
        <f aca="false">IF(M35="TERM","",IF(M35="NONE",REPT(" ",17),REPT(" ",15-LEN(M35))&amp;M35))&amp;IF(OR(M35="TERM",M35="NONE"),"",IF(N35="TERM","",IF(N35="",",",", ")))</f>
        <v>           KC_9, </v>
      </c>
      <c r="N67" s="38" t="str">
        <f aca="false">IF(N35="TERM","",IF(N35="NONE",REPT(" ",17),REPT(" ",15-LEN(N35))&amp;N35))&amp;IF(OR(N35="TERM",N35="NONE"),"",IF(O35="TERM","",IF(O35="",",",", ")))</f>
        <v>           KC_0, </v>
      </c>
      <c r="O67" s="40" t="str">
        <f aca="false">IF(O35="TERM","",IF(O35="NONE",REPT(" ",17),REPT(" ",15-LEN(O35))&amp;O35))&amp;IF(OR(O35="TERM",O35="NONE"),"",IF(P35="TERM","",IF(P35="",",",", ")))</f>
        <v>        KC_MINS,</v>
      </c>
    </row>
    <row r="68" customFormat="false" ht="21" hidden="false" customHeight="true" outlineLevel="0" collapsed="false">
      <c r="A68" s="30"/>
      <c r="B68" s="41" t="str">
        <f aca="false">IF(B36="TERM","",IF(B36="NONE",REPT(" ",17),REPT(" ",15-LEN(B36))&amp;B36))&amp;IF(OR(B36="TERM",B36="NONE"),"",IF(C36="TERM","",IF(C36="",",",", ")))</f>
        <v>        KC_LALT, </v>
      </c>
      <c r="C68" s="41" t="str">
        <f aca="false">IF(C36="TERM","",IF(C36="NONE",REPT(" ",17),REPT(" ",15-LEN(C36))&amp;C36))&amp;IF(OR(C36="TERM",C36="NONE"),"",IF(D36="TERM","",IF(D36="",",",", ")))</f>
        <v>           KC_Q, </v>
      </c>
      <c r="D68" s="41" t="str">
        <f aca="false">IF(D36="TERM","",IF(D36="NONE",REPT(" ",17),REPT(" ",15-LEN(D36))&amp;D36))&amp;IF(OR(D36="TERM",D36="NONE"),"",IF(E36="TERM","",IF(E36="",",",", ")))</f>
        <v>           KC_W, </v>
      </c>
      <c r="E68" s="41" t="str">
        <f aca="false">IF(E36="TERM","",IF(E36="NONE",REPT(" ",17),REPT(" ",15-LEN(E36))&amp;E36))&amp;IF(OR(E36="TERM",E36="NONE"),"",IF(F36="TERM","",IF(F36="",",",", ")))</f>
        <v>           KC_E, </v>
      </c>
      <c r="F68" s="41" t="str">
        <f aca="false">IF(F36="TERM","",IF(F36="NONE",REPT(" ",17),REPT(" ",15-LEN(F36))&amp;F36))&amp;IF(OR(F36="TERM",F36="NONE"),"",IF(G36="TERM","",IF(G36="",",",", ")))</f>
        <v>           KC_R, </v>
      </c>
      <c r="G68" s="41" t="str">
        <f aca="false">IF(G36="TERM","",IF(G36="NONE",REPT(" ",17),REPT(" ",15-LEN(G36))&amp;G36))&amp;IF(OR(G36="TERM",G36="NONE"),"",IF(H36="TERM","",IF(H36="",",",", ")))</f>
        <v>           KC_T, </v>
      </c>
      <c r="H68" s="42" t="str">
        <f aca="false">IF(H36="TERM","",IF(H36="NONE",REPT(" ",17),REPT(" ",15-LEN(H36))&amp;H36))&amp;IF(OR(H36="TERM",H36="NONE"),"",IF(I36="TERM","",IF(I36="",",",", ")))</f>
        <v>                 </v>
      </c>
      <c r="I68" s="42" t="str">
        <f aca="false">IF(I36="TERM","",IF(I36="NONE",REPT(" ",17),REPT(" ",15-LEN(I36))&amp;I36))&amp;IF(OR(I36="TERM",I36="NONE"),"",IF(J36="TERM","",IF(J36="",",",", ")))</f>
        <v>                 </v>
      </c>
      <c r="J68" s="41" t="str">
        <f aca="false">IF(J36="TERM","",IF(J36="NONE",REPT(" ",17),REPT(" ",15-LEN(J36))&amp;J36))&amp;IF(OR(J36="TERM",J36="NONE"),"",IF(K36="TERM","",IF(K36="",",",", ")))</f>
        <v>           KC_Y, </v>
      </c>
      <c r="K68" s="41" t="str">
        <f aca="false">IF(K36="TERM","",IF(K36="NONE",REPT(" ",17),REPT(" ",15-LEN(K36))&amp;K36))&amp;IF(OR(K36="TERM",K36="NONE"),"",IF(L36="TERM","",IF(L36="",",",", ")))</f>
        <v>           KC_U, </v>
      </c>
      <c r="L68" s="41" t="str">
        <f aca="false">IF(L36="TERM","",IF(L36="NONE",REPT(" ",17),REPT(" ",15-LEN(L36))&amp;L36))&amp;IF(OR(L36="TERM",L36="NONE"),"",IF(M36="TERM","",IF(M36="",",",", ")))</f>
        <v>           KC_I, </v>
      </c>
      <c r="M68" s="41" t="str">
        <f aca="false">IF(M36="TERM","",IF(M36="NONE",REPT(" ",17),REPT(" ",15-LEN(M36))&amp;M36))&amp;IF(OR(M36="TERM",M36="NONE"),"",IF(N36="TERM","",IF(N36="",",",", ")))</f>
        <v>           KC_O, </v>
      </c>
      <c r="N68" s="41" t="str">
        <f aca="false">IF(N36="TERM","",IF(N36="NONE",REPT(" ",17),REPT(" ",15-LEN(N36))&amp;N36))&amp;IF(OR(N36="TERM",N36="NONE"),"",IF(O36="TERM","",IF(O36="",",",", ")))</f>
        <v>           KC_P, </v>
      </c>
      <c r="O68" s="43" t="str">
        <f aca="false">IF(O36="TERM","",IF(O36="NONE",REPT(" ",17),REPT(" ",15-LEN(O36))&amp;O36))&amp;IF(OR(O36="TERM",O36="NONE"),"",IF(P36="TERM","",IF(P36="",",",", ")))</f>
        <v>        KC_LBRC,</v>
      </c>
    </row>
    <row r="69" customFormat="false" ht="21" hidden="false" customHeight="true" outlineLevel="0" collapsed="false">
      <c r="A69" s="30"/>
      <c r="B69" s="41" t="str">
        <f aca="false">IF(B37="TERM","",IF(B37="NONE",REPT(" ",17),REPT(" ",15-LEN(B37))&amp;B37))&amp;IF(OR(B37="TERM",B37="NONE"),"",IF(C37="TERM","",IF(C37="",",",", ")))</f>
        <v>         KC_TAB, </v>
      </c>
      <c r="C69" s="41" t="str">
        <f aca="false">IF(C37="TERM","",IF(C37="NONE",REPT(" ",17),REPT(" ",15-LEN(C37))&amp;C37))&amp;IF(OR(C37="TERM",C37="NONE"),"",IF(D37="TERM","",IF(D37="",",",", ")))</f>
        <v>           KC_A, </v>
      </c>
      <c r="D69" s="41" t="str">
        <f aca="false">IF(D37="TERM","",IF(D37="NONE",REPT(" ",17),REPT(" ",15-LEN(D37))&amp;D37))&amp;IF(OR(D37="TERM",D37="NONE"),"",IF(E37="TERM","",IF(E37="",",",", ")))</f>
        <v>           KC_S, </v>
      </c>
      <c r="E69" s="41" t="str">
        <f aca="false">IF(E37="TERM","",IF(E37="NONE",REPT(" ",17),REPT(" ",15-LEN(E37))&amp;E37))&amp;IF(OR(E37="TERM",E37="NONE"),"",IF(F37="TERM","",IF(F37="",",",", ")))</f>
        <v>           KC_D, </v>
      </c>
      <c r="F69" s="41" t="str">
        <f aca="false">IF(F37="TERM","",IF(F37="NONE",REPT(" ",17),REPT(" ",15-LEN(F37))&amp;F37))&amp;IF(OR(F37="TERM",F37="NONE"),"",IF(G37="TERM","",IF(G37="",",",", ")))</f>
        <v>           KC_F, </v>
      </c>
      <c r="G69" s="41" t="str">
        <f aca="false">IF(G37="TERM","",IF(G37="NONE",REPT(" ",17),REPT(" ",15-LEN(G37))&amp;G37))&amp;IF(OR(G37="TERM",G37="NONE"),"",IF(H37="TERM","",IF(H37="",",",", ")))</f>
        <v>           KC_G, </v>
      </c>
      <c r="H69" s="42" t="str">
        <f aca="false">IF(H37="TERM","",IF(H37="NONE",REPT(" ",17),REPT(" ",15-LEN(H37))&amp;H37))&amp;IF(OR(H37="TERM",H37="NONE"),"",IF(I37="TERM","",IF(I37="",",",", ")))</f>
        <v>                 </v>
      </c>
      <c r="I69" s="42" t="str">
        <f aca="false">IF(I37="TERM","",IF(I37="NONE",REPT(" ",17),REPT(" ",15-LEN(I37))&amp;I37))&amp;IF(OR(I37="TERM",I37="NONE"),"",IF(J37="TERM","",IF(J37="",",",", ")))</f>
        <v>                 </v>
      </c>
      <c r="J69" s="41" t="str">
        <f aca="false">IF(J37="TERM","",IF(J37="NONE",REPT(" ",17),REPT(" ",15-LEN(J37))&amp;J37))&amp;IF(OR(J37="TERM",J37="NONE"),"",IF(K37="TERM","",IF(K37="",",",", ")))</f>
        <v>           KC_H, </v>
      </c>
      <c r="K69" s="41" t="str">
        <f aca="false">IF(K37="TERM","",IF(K37="NONE",REPT(" ",17),REPT(" ",15-LEN(K37))&amp;K37))&amp;IF(OR(K37="TERM",K37="NONE"),"",IF(L37="TERM","",IF(L37="",",",", ")))</f>
        <v>           KC_J, </v>
      </c>
      <c r="L69" s="41" t="str">
        <f aca="false">IF(L37="TERM","",IF(L37="NONE",REPT(" ",17),REPT(" ",15-LEN(L37))&amp;L37))&amp;IF(OR(L37="TERM",L37="NONE"),"",IF(M37="TERM","",IF(M37="",",",", ")))</f>
        <v>           KC_K, </v>
      </c>
      <c r="M69" s="41" t="str">
        <f aca="false">IF(M37="TERM","",IF(M37="NONE",REPT(" ",17),REPT(" ",15-LEN(M37))&amp;M37))&amp;IF(OR(M37="TERM",M37="NONE"),"",IF(N37="TERM","",IF(N37="",",",", ")))</f>
        <v>           KC_L, </v>
      </c>
      <c r="N69" s="41" t="str">
        <f aca="false">IF(N37="TERM","",IF(N37="NONE",REPT(" ",17),REPT(" ",15-LEN(N37))&amp;N37))&amp;IF(OR(N37="TERM",N37="NONE"),"",IF(O37="TERM","",IF(O37="",",",", ")))</f>
        <v>        KC_SCLN, </v>
      </c>
      <c r="O69" s="43" t="str">
        <f aca="false">IF(O37="TERM","",IF(O37="NONE",REPT(" ",17),REPT(" ",15-LEN(O37))&amp;O37))&amp;IF(OR(O37="TERM",O37="NONE"),"",IF(P37="TERM","",IF(P37="",",",", ")))</f>
        <v>        KC_QUOT,</v>
      </c>
    </row>
    <row r="70" customFormat="false" ht="21" hidden="false" customHeight="true" outlineLevel="0" collapsed="false">
      <c r="A70" s="30"/>
      <c r="B70" s="41" t="str">
        <f aca="false">IF(B38="TERM","",IF(B38="NONE",REPT(" ",17),REPT(" ",15-LEN(B38))&amp;B38))&amp;IF(OR(B38="TERM",B38="NONE"),"",IF(C38="TERM","",IF(C38="",",",", ")))</f>
        <v>        KC_LCTL, </v>
      </c>
      <c r="C70" s="41" t="str">
        <f aca="false">IF(C38="TERM","",IF(C38="NONE",REPT(" ",17),REPT(" ",15-LEN(C38))&amp;C38))&amp;IF(OR(C38="TERM",C38="NONE"),"",IF(D38="TERM","",IF(D38="",",",", ")))</f>
        <v>           KC_Z, </v>
      </c>
      <c r="D70" s="41" t="str">
        <f aca="false">IF(D38="TERM","",IF(D38="NONE",REPT(" ",17),REPT(" ",15-LEN(D38))&amp;D38))&amp;IF(OR(D38="TERM",D38="NONE"),"",IF(E38="TERM","",IF(E38="",",",", ")))</f>
        <v>           KC_X, </v>
      </c>
      <c r="E70" s="41" t="str">
        <f aca="false">IF(E38="TERM","",IF(E38="NONE",REPT(" ",17),REPT(" ",15-LEN(E38))&amp;E38))&amp;IF(OR(E38="TERM",E38="NONE"),"",IF(F38="TERM","",IF(F38="",",",", ")))</f>
        <v>           KC_C, </v>
      </c>
      <c r="F70" s="41" t="str">
        <f aca="false">IF(F38="TERM","",IF(F38="NONE",REPT(" ",17),REPT(" ",15-LEN(F38))&amp;F38))&amp;IF(OR(F38="TERM",F38="NONE"),"",IF(G38="TERM","",IF(G38="",",",", ")))</f>
        <v>           KC_V, </v>
      </c>
      <c r="G70" s="41" t="str">
        <f aca="false">IF(G38="TERM","",IF(G38="NONE",REPT(" ",17),REPT(" ",15-LEN(G38))&amp;G38))&amp;IF(OR(G38="TERM",G38="NONE"),"",IF(H38="TERM","",IF(H38="",",",", ")))</f>
        <v>           KC_B, </v>
      </c>
      <c r="H70" s="41" t="str">
        <f aca="false">IF(H38="TERM","",IF(H38="NONE",REPT(" ",17),REPT(" ",15-LEN(H38))&amp;H38))&amp;IF(OR(H38="TERM",H38="NONE"),"",IF(I38="TERM","",IF(I38="",",",", ")))</f>
        <v>        KC_BSPC, </v>
      </c>
      <c r="I70" s="41" t="str">
        <f aca="false">IF(I38="TERM","",IF(I38="NONE",REPT(" ",17),REPT(" ",15-LEN(I38))&amp;I38))&amp;IF(OR(I38="TERM",I38="NONE"),"",IF(J38="TERM","",IF(J38="",",",", ")))</f>
        <v>         KC_DEL, </v>
      </c>
      <c r="J70" s="41" t="str">
        <f aca="false">IF(J38="TERM","",IF(J38="NONE",REPT(" ",17),REPT(" ",15-LEN(J38))&amp;J38))&amp;IF(OR(J38="TERM",J38="NONE"),"",IF(K38="TERM","",IF(K38="",",",", ")))</f>
        <v>           KC_N, </v>
      </c>
      <c r="K70" s="41" t="str">
        <f aca="false">IF(K38="TERM","",IF(K38="NONE",REPT(" ",17),REPT(" ",15-LEN(K38))&amp;K38))&amp;IF(OR(K38="TERM",K38="NONE"),"",IF(L38="TERM","",IF(L38="",",",", ")))</f>
        <v>           KC_M, </v>
      </c>
      <c r="L70" s="41" t="str">
        <f aca="false">IF(L38="TERM","",IF(L38="NONE",REPT(" ",17),REPT(" ",15-LEN(L38))&amp;L38))&amp;IF(OR(L38="TERM",L38="NONE"),"",IF(M38="TERM","",IF(M38="",",",", ")))</f>
        <v>        KC_COMM, </v>
      </c>
      <c r="M70" s="41" t="str">
        <f aca="false">IF(M38="TERM","",IF(M38="NONE",REPT(" ",17),REPT(" ",15-LEN(M38))&amp;M38))&amp;IF(OR(M38="TERM",M38="NONE"),"",IF(N38="TERM","",IF(N38="",",",", ")))</f>
        <v>         KC_DOT, </v>
      </c>
      <c r="N70" s="41" t="str">
        <f aca="false">IF(N38="TERM","",IF(N38="NONE",REPT(" ",17),REPT(" ",15-LEN(N38))&amp;N38))&amp;IF(OR(N38="TERM",N38="NONE"),"",IF(O38="TERM","",IF(O38="",",",", ")))</f>
        <v>        KC_SLSH, </v>
      </c>
      <c r="O70" s="43" t="str">
        <f aca="false">IF(O38="TERM","",IF(O38="NONE",REPT(" ",17),REPT(" ",15-LEN(O38))&amp;O38))&amp;IF(OR(O38="TERM",O38="NONE"),"",IF(P38="TERM","",IF(P38="",",",", ")))</f>
        <v>        KC_INT1,</v>
      </c>
    </row>
    <row r="71" customFormat="false" ht="21" hidden="false" customHeight="true" outlineLevel="0" collapsed="false">
      <c r="A71" s="34"/>
      <c r="B71" s="44" t="str">
        <f aca="false">IF(B39="TERM","",IF(B39="NONE",REPT(" ",17),REPT(" ",15-LEN(B39))&amp;B39))&amp;IF(OR(B39="TERM",B39="NONE"),"",IF(C39="TERM","",IF(C39="",",",", ")))</f>
        <v>                 </v>
      </c>
      <c r="C71" s="44" t="str">
        <f aca="false">IF(C39="TERM","",IF(C39="NONE",REPT(" ",17),REPT(" ",15-LEN(C39))&amp;C39))&amp;IF(OR(C39="TERM",C39="NONE"),"",IF(D39="TERM","",IF(D39="",",",", ")))</f>
        <v>                 </v>
      </c>
      <c r="D71" s="44" t="str">
        <f aca="false">IF(D39="TERM","",IF(D39="NONE",REPT(" ",17),REPT(" ",15-LEN(D39))&amp;D39))&amp;IF(OR(D39="TERM",D39="NONE"),"",IF(E39="TERM","",IF(E39="",",",", ")))</f>
        <v>                 </v>
      </c>
      <c r="E71" s="45" t="str">
        <f aca="false">IF(E39="TERM","",IF(E39="NONE",REPT(" ",17),REPT(" ",15-LEN(E39))&amp;E39))&amp;IF(OR(E39="TERM",E39="NONE"),"",IF(F39="TERM","",IF(F39="",",",", ")))</f>
        <v>        KC_LGUI, </v>
      </c>
      <c r="F71" s="45" t="str">
        <f aca="false">IF(F39="TERM","",IF(F39="NONE",REPT(" ",17),REPT(" ",15-LEN(F39))&amp;F39))&amp;IF(OR(F39="TERM",F39="NONE"),"",IF(G39="TERM","",IF(G39="",",",", ")))</f>
        <v>           TG_R, </v>
      </c>
      <c r="G71" s="45" t="str">
        <f aca="false">IF(G39="TERM","",IF(G39="NONE",REPT(" ",17),REPT(" ",15-LEN(G39))&amp;G39))&amp;IF(OR(G39="TERM",G39="NONE"),"",IF(H39="TERM","",IF(H39="",",",", ")))</f>
        <v>           MO_R, </v>
      </c>
      <c r="H71" s="45" t="str">
        <f aca="false">IF(H39="TERM","",IF(H39="NONE",REPT(" ",17),REPT(" ",15-LEN(H39))&amp;H39))&amp;IF(OR(H39="TERM",H39="NONE"),"",IF(I39="TERM","",IF(I39="",",",", ")))</f>
        <v>       LSFT_SPC, </v>
      </c>
      <c r="I71" s="45" t="str">
        <f aca="false">IF(I39="TERM","",IF(I39="NONE",REPT(" ",17),REPT(" ",15-LEN(I39))&amp;I39))&amp;IF(OR(I39="TERM",I39="NONE"),"",IF(J39="TERM","",IF(J39="",",",", ")))</f>
        <v>       RSTF_ENT, </v>
      </c>
      <c r="J71" s="45" t="str">
        <f aca="false">IF(J39="TERM","",IF(J39="NONE",REPT(" ",17),REPT(" ",15-LEN(J39))&amp;J39))&amp;IF(OR(J39="TERM",J39="NONE"),"",IF(K39="TERM","",IF(K39="",",",", ")))</f>
        <v>           MO_L, </v>
      </c>
      <c r="K71" s="45" t="str">
        <f aca="false">IF(K39="TERM","",IF(K39="NONE",REPT(" ",17),REPT(" ",15-LEN(K39))&amp;K39))&amp;IF(OR(K39="TERM",K39="NONE"),"",IF(L39="TERM","",IF(L39="",",",", ")))</f>
        <v>           TG_L, </v>
      </c>
      <c r="L71" s="45" t="str">
        <f aca="false">IF(L39="TERM","",IF(L39="NONE",REPT(" ",17),REPT(" ",15-LEN(L39))&amp;L39))&amp;IF(OR(L39="TERM",L39="NONE"),"",IF(M39="TERM","",IF(M39="",",",", ")))</f>
        <v>         KC_APP</v>
      </c>
      <c r="M71" s="44" t="str">
        <f aca="false">IF(M39="TERM","",IF(M39="NONE",REPT(" ",17),REPT(" ",15-LEN(M39))&amp;M39))&amp;IF(OR(M39="TERM",M39="NONE"),"",IF(N39="TERM","",IF(N39="",",",", ")))</f>
        <v/>
      </c>
      <c r="N71" s="44" t="str">
        <f aca="false">IF(N39="TERM","",IF(N39="NONE",REPT(" ",17),REPT(" ",15-LEN(N39))&amp;N39))&amp;IF(OR(N39="TERM",N39="NONE"),"",IF(O39="TERM","",IF(O39="",",",", ")))</f>
        <v/>
      </c>
      <c r="O71" s="46" t="str">
        <f aca="false">IF(O39="TERM","",IF(O39="NONE",REPT(" ",17),REPT(" ",15-LEN(O39))&amp;O39))&amp;IF(OR(O39="TERM",O39="NONE"),"",IF(P39="TERM","",IF(P39="",",",", ")))</f>
        <v/>
      </c>
    </row>
    <row r="72" customFormat="false" ht="21" hidden="false" customHeight="true" outlineLevel="0" collapsed="false">
      <c r="A72" s="26" t="s">
        <v>317</v>
      </c>
      <c r="B72" s="38" t="str">
        <f aca="false">IF(B40="TERM","",IF(B40="NONE",REPT(" ",17),REPT(" ",15-LEN(B40))&amp;B40))&amp;IF(OR(B40="TERM",B40="NONE"),"",IF(C40="TERM","",IF(C40="",",",", ")))</f>
        <v>        _______, </v>
      </c>
      <c r="C72" s="38" t="str">
        <f aca="false">IF(C40="TERM","",IF(C40="NONE",REPT(" ",17),REPT(" ",15-LEN(C40))&amp;C40))&amp;IF(OR(C40="TERM",C40="NONE"),"",IF(D40="TERM","",IF(D40="",",",", ")))</f>
        <v>        _______, </v>
      </c>
      <c r="D72" s="38" t="str">
        <f aca="false">IF(D40="TERM","",IF(D40="NONE",REPT(" ",17),REPT(" ",15-LEN(D40))&amp;D40))&amp;IF(OR(D40="TERM",D40="NONE"),"",IF(E40="TERM","",IF(E40="",",",", ")))</f>
        <v>        _______, </v>
      </c>
      <c r="E72" s="38" t="str">
        <f aca="false">IF(E40="TERM","",IF(E40="NONE",REPT(" ",17),REPT(" ",15-LEN(E40))&amp;E40))&amp;IF(OR(E40="TERM",E40="NONE"),"",IF(F40="TERM","",IF(F40="",",",", ")))</f>
        <v>        _______, </v>
      </c>
      <c r="F72" s="38" t="str">
        <f aca="false">IF(F40="TERM","",IF(F40="NONE",REPT(" ",17),REPT(" ",15-LEN(F40))&amp;F40))&amp;IF(OR(F40="TERM",F40="NONE"),"",IF(G40="TERM","",IF(G40="",",",", ")))</f>
        <v>        _______, </v>
      </c>
      <c r="G72" s="38" t="str">
        <f aca="false">IF(G40="TERM","",IF(G40="NONE",REPT(" ",17),REPT(" ",15-LEN(G40))&amp;G40))&amp;IF(OR(G40="TERM",G40="NONE"),"",IF(H40="TERM","",IF(H40="",",",", ")))</f>
        <v>        _______, </v>
      </c>
      <c r="H72" s="39" t="str">
        <f aca="false">IF(H40="TERM","",IF(H40="NONE",REPT(" ",17),REPT(" ",15-LEN(H40))&amp;H40))&amp;IF(OR(H40="TERM",H40="NONE"),"",IF(I40="TERM","",IF(I40="",",",", ")))</f>
        <v>                 </v>
      </c>
      <c r="I72" s="39" t="str">
        <f aca="false">IF(I40="TERM","",IF(I40="NONE",REPT(" ",17),REPT(" ",15-LEN(I40))&amp;I40))&amp;IF(OR(I40="TERM",I40="NONE"),"",IF(J40="TERM","",IF(J40="",",",", ")))</f>
        <v>                 </v>
      </c>
      <c r="J72" s="38" t="str">
        <f aca="false">IF(J40="TERM","",IF(J40="NONE",REPT(" ",17),REPT(" ",15-LEN(J40))&amp;J40))&amp;IF(OR(J40="TERM",J40="NONE"),"",IF(K40="TERM","",IF(K40="",",",", ")))</f>
        <v>        _______, </v>
      </c>
      <c r="K72" s="38" t="str">
        <f aca="false">IF(K40="TERM","",IF(K40="NONE",REPT(" ",17),REPT(" ",15-LEN(K40))&amp;K40))&amp;IF(OR(K40="TERM",K40="NONE"),"",IF(L40="TERM","",IF(L40="",",",", ")))</f>
        <v>        _______, </v>
      </c>
      <c r="L72" s="38" t="str">
        <f aca="false">IF(L40="TERM","",IF(L40="NONE",REPT(" ",17),REPT(" ",15-LEN(L40))&amp;L40))&amp;IF(OR(L40="TERM",L40="NONE"),"",IF(M40="TERM","",IF(M40="",",",", ")))</f>
        <v>        _______, </v>
      </c>
      <c r="M72" s="38" t="str">
        <f aca="false">IF(M40="TERM","",IF(M40="NONE",REPT(" ",17),REPT(" ",15-LEN(M40))&amp;M40))&amp;IF(OR(M40="TERM",M40="NONE"),"",IF(N40="TERM","",IF(N40="",",",", ")))</f>
        <v>        _______, </v>
      </c>
      <c r="N72" s="38" t="str">
        <f aca="false">IF(N40="TERM","",IF(N40="NONE",REPT(" ",17),REPT(" ",15-LEN(N40))&amp;N40))&amp;IF(OR(N40="TERM",N40="NONE"),"",IF(O40="TERM","",IF(O40="",",",", ")))</f>
        <v>        _______, </v>
      </c>
      <c r="O72" s="40" t="str">
        <f aca="false">IF(O40="TERM","",IF(O40="NONE",REPT(" ",17),REPT(" ",15-LEN(O40))&amp;O40))&amp;IF(OR(O40="TERM",O40="NONE"),"",IF(P40="TERM","",IF(P40="",",",", ")))</f>
        <v>        _______,</v>
      </c>
    </row>
    <row r="73" customFormat="false" ht="21" hidden="false" customHeight="true" outlineLevel="0" collapsed="false">
      <c r="A73" s="30"/>
      <c r="B73" s="41" t="str">
        <f aca="false">IF(B41="TERM","",IF(B41="NONE",REPT(" ",17),REPT(" ",15-LEN(B41))&amp;B41))&amp;IF(OR(B41="TERM",B41="NONE"),"",IF(C41="TERM","",IF(C41="",",",", ")))</f>
        <v>         KC_APP, </v>
      </c>
      <c r="C73" s="41" t="str">
        <f aca="false">IF(C41="TERM","",IF(C41="NONE",REPT(" ",17),REPT(" ",15-LEN(C41))&amp;C41))&amp;IF(OR(C41="TERM",C41="NONE"),"",IF(D41="TERM","",IF(D41="",",",", ")))</f>
        <v>        S(KC_1), </v>
      </c>
      <c r="D73" s="41" t="str">
        <f aca="false">IF(D41="TERM","",IF(D41="NONE",REPT(" ",17),REPT(" ",15-LEN(D41))&amp;D41))&amp;IF(OR(D41="TERM",D41="NONE"),"",IF(E41="TERM","",IF(E41="",",",", ")))</f>
        <v>        S(KC_2), </v>
      </c>
      <c r="E73" s="41" t="str">
        <f aca="false">IF(E41="TERM","",IF(E41="NONE",REPT(" ",17),REPT(" ",15-LEN(E41))&amp;E41))&amp;IF(OR(E41="TERM",E41="NONE"),"",IF(F41="TERM","",IF(F41="",",",", ")))</f>
        <v>        S(KC_3), </v>
      </c>
      <c r="F73" s="41" t="str">
        <f aca="false">IF(F41="TERM","",IF(F41="NONE",REPT(" ",17),REPT(" ",15-LEN(F41))&amp;F41))&amp;IF(OR(F41="TERM",F41="NONE"),"",IF(G41="TERM","",IF(G41="",",",", ")))</f>
        <v>        S(KC_4), </v>
      </c>
      <c r="G73" s="41" t="str">
        <f aca="false">IF(G41="TERM","",IF(G41="NONE",REPT(" ",17),REPT(" ",15-LEN(G41))&amp;G41))&amp;IF(OR(G41="TERM",G41="NONE"),"",IF(H41="TERM","",IF(H41="",",",", ")))</f>
        <v>        S(KC_5), </v>
      </c>
      <c r="H73" s="42" t="str">
        <f aca="false">IF(H41="TERM","",IF(H41="NONE",REPT(" ",17),REPT(" ",15-LEN(H41))&amp;H41))&amp;IF(OR(H41="TERM",H41="NONE"),"",IF(I41="TERM","",IF(I41="",",",", ")))</f>
        <v>                 </v>
      </c>
      <c r="I73" s="42" t="str">
        <f aca="false">IF(I41="TERM","",IF(I41="NONE",REPT(" ",17),REPT(" ",15-LEN(I41))&amp;I41))&amp;IF(OR(I41="TERM",I41="NONE"),"",IF(J41="TERM","",IF(J41="",",",", ")))</f>
        <v>                 </v>
      </c>
      <c r="J73" s="41" t="str">
        <f aca="false">IF(J41="TERM","",IF(J41="NONE",REPT(" ",17),REPT(" ",15-LEN(J41))&amp;J41))&amp;IF(OR(J41="TERM",J41="NONE"),"",IF(K41="TERM","",IF(K41="",",",", ")))</f>
        <v>        S(KC_6), </v>
      </c>
      <c r="K73" s="41" t="str">
        <f aca="false">IF(K41="TERM","",IF(K41="NONE",REPT(" ",17),REPT(" ",15-LEN(K41))&amp;K41))&amp;IF(OR(K41="TERM",K41="NONE"),"",IF(L41="TERM","",IF(L41="",",",", ")))</f>
        <v>        S(KC_7), </v>
      </c>
      <c r="L73" s="41" t="str">
        <f aca="false">IF(L41="TERM","",IF(L41="NONE",REPT(" ",17),REPT(" ",15-LEN(L41))&amp;L41))&amp;IF(OR(L41="TERM",L41="NONE"),"",IF(M41="TERM","",IF(M41="",",",", ")))</f>
        <v>        S(KC_8), </v>
      </c>
      <c r="M73" s="41" t="str">
        <f aca="false">IF(M41="TERM","",IF(M41="NONE",REPT(" ",17),REPT(" ",15-LEN(M41))&amp;M41))&amp;IF(OR(M41="TERM",M41="NONE"),"",IF(N41="TERM","",IF(N41="",",",", ")))</f>
        <v>        S(KC_9), </v>
      </c>
      <c r="N73" s="41" t="str">
        <f aca="false">IF(N41="TERM","",IF(N41="NONE",REPT(" ",17),REPT(" ",15-LEN(N41))&amp;N41))&amp;IF(OR(N41="TERM",N41="NONE"),"",IF(O41="TERM","",IF(O41="",",",", ")))</f>
        <v>        XXXXXXX, </v>
      </c>
      <c r="O73" s="43" t="str">
        <f aca="false">IF(O41="TERM","",IF(O41="NONE",REPT(" ",17),REPT(" ",15-LEN(O41))&amp;O41))&amp;IF(OR(O41="TERM",O41="NONE"),"",IF(P41="TERM","",IF(P41="",",",", ")))</f>
        <v>        XXXXXXX,</v>
      </c>
    </row>
    <row r="74" customFormat="false" ht="21" hidden="false" customHeight="true" outlineLevel="0" collapsed="false">
      <c r="A74" s="30"/>
      <c r="B74" s="41" t="str">
        <f aca="false">IF(B42="TERM","",IF(B42="NONE",REPT(" ",17),REPT(" ",15-LEN(B42))&amp;B42))&amp;IF(OR(B42="TERM",B42="NONE"),"",IF(C42="TERM","",IF(C42="",",",", ")))</f>
        <v>        KC_LGUI, </v>
      </c>
      <c r="C74" s="41" t="str">
        <f aca="false">IF(C42="TERM","",IF(C42="NONE",REPT(" ",17),REPT(" ",15-LEN(C42))&amp;C42))&amp;IF(OR(C42="TERM",C42="NONE"),"",IF(D42="TERM","",IF(D42="",",",", ")))</f>
        <v>        XXXXXXX, </v>
      </c>
      <c r="D74" s="41" t="str">
        <f aca="false">IF(D42="TERM","",IF(D42="NONE",REPT(" ",17),REPT(" ",15-LEN(D42))&amp;D42))&amp;IF(OR(D42="TERM",D42="NONE"),"",IF(E42="TERM","",IF(E42="",",",", ")))</f>
        <v>        KC_HOME, </v>
      </c>
      <c r="E74" s="41" t="str">
        <f aca="false">IF(E42="TERM","",IF(E42="NONE",REPT(" ",17),REPT(" ",15-LEN(E42))&amp;E42))&amp;IF(OR(E42="TERM",E42="NONE"),"",IF(F42="TERM","",IF(F42="",",",", ")))</f>
        <v>        KC_PGUP, </v>
      </c>
      <c r="F74" s="41" t="str">
        <f aca="false">IF(F42="TERM","",IF(F42="NONE",REPT(" ",17),REPT(" ",15-LEN(F42))&amp;F42))&amp;IF(OR(F42="TERM",F42="NONE"),"",IF(G42="TERM","",IF(G42="",",",", ")))</f>
        <v>        KC_PGDN, </v>
      </c>
      <c r="G74" s="41" t="str">
        <f aca="false">IF(G42="TERM","",IF(G42="NONE",REPT(" ",17),REPT(" ",15-LEN(G42))&amp;G42))&amp;IF(OR(G42="TERM",G42="NONE"),"",IF(H42="TERM","",IF(H42="",",",", ")))</f>
        <v>         KC_END, </v>
      </c>
      <c r="H74" s="42" t="str">
        <f aca="false">IF(H42="TERM","",IF(H42="NONE",REPT(" ",17),REPT(" ",15-LEN(H42))&amp;H42))&amp;IF(OR(H42="TERM",H42="NONE"),"",IF(I42="TERM","",IF(I42="",",",", ")))</f>
        <v>                 </v>
      </c>
      <c r="I74" s="42" t="str">
        <f aca="false">IF(I42="TERM","",IF(I42="NONE",REPT(" ",17),REPT(" ",15-LEN(I42))&amp;I42))&amp;IF(OR(I42="TERM",I42="NONE"),"",IF(J42="TERM","",IF(J42="",",",", ")))</f>
        <v>                 </v>
      </c>
      <c r="J74" s="41" t="str">
        <f aca="false">IF(J42="TERM","",IF(J42="NONE",REPT(" ",17),REPT(" ",15-LEN(J42))&amp;J42))&amp;IF(OR(J42="TERM",J42="NONE"),"",IF(K42="TERM","",IF(K42="",",",", ")))</f>
        <v>        KC_LEFT, </v>
      </c>
      <c r="K74" s="41" t="str">
        <f aca="false">IF(K42="TERM","",IF(K42="NONE",REPT(" ",17),REPT(" ",15-LEN(K42))&amp;K42))&amp;IF(OR(K42="TERM",K42="NONE"),"",IF(L42="TERM","",IF(L42="",",",", ")))</f>
        <v>        KC_DOWN, </v>
      </c>
      <c r="L74" s="41" t="str">
        <f aca="false">IF(L42="TERM","",IF(L42="NONE",REPT(" ",17),REPT(" ",15-LEN(L42))&amp;L42))&amp;IF(OR(L42="TERM",L42="NONE"),"",IF(M42="TERM","",IF(M42="",",",", ")))</f>
        <v>          KC_UP, </v>
      </c>
      <c r="M74" s="41" t="str">
        <f aca="false">IF(M42="TERM","",IF(M42="NONE",REPT(" ",17),REPT(" ",15-LEN(M42))&amp;M42))&amp;IF(OR(M42="TERM",M42="NONE"),"",IF(N42="TERM","",IF(N42="",",",", ")))</f>
        <v>        KC_RGHT, </v>
      </c>
      <c r="N74" s="41" t="str">
        <f aca="false">IF(N42="TERM","",IF(N42="NONE",REPT(" ",17),REPT(" ",15-LEN(N42))&amp;N42))&amp;IF(OR(N42="TERM",N42="NONE"),"",IF(O42="TERM","",IF(O42="",",",", ")))</f>
        <v>         KC_EQL, </v>
      </c>
      <c r="O74" s="43" t="str">
        <f aca="false">IF(O42="TERM","",IF(O42="NONE",REPT(" ",17),REPT(" ",15-LEN(O42))&amp;O42))&amp;IF(OR(O42="TERM",O42="NONE"),"",IF(P42="TERM","",IF(P42="",",",", ")))</f>
        <v>        KC_MINS,</v>
      </c>
    </row>
    <row r="75" customFormat="false" ht="21" hidden="false" customHeight="true" outlineLevel="0" collapsed="false">
      <c r="A75" s="30"/>
      <c r="B75" s="41" t="str">
        <f aca="false">IF(B43="TERM","",IF(B43="NONE",REPT(" ",17),REPT(" ",15-LEN(B43))&amp;B43))&amp;IF(OR(B43="TERM",B43="NONE"),"",IF(C43="TERM","",IF(C43="",",",", ")))</f>
        <v>        _______, </v>
      </c>
      <c r="C75" s="41" t="str">
        <f aca="false">IF(C43="TERM","",IF(C43="NONE",REPT(" ",17),REPT(" ",15-LEN(C43))&amp;C43))&amp;IF(OR(C43="TERM",C43="NONE"),"",IF(D43="TERM","",IF(D43="",",",", ")))</f>
        <v>        KC_LALT, </v>
      </c>
      <c r="D75" s="41" t="str">
        <f aca="false">IF(D43="TERM","",IF(D43="NONE",REPT(" ",17),REPT(" ",15-LEN(D43))&amp;D43))&amp;IF(OR(D43="TERM",D43="NONE"),"",IF(E43="TERM","",IF(E43="",",",", ")))</f>
        <v>        XXXXXXX, </v>
      </c>
      <c r="E75" s="41" t="str">
        <f aca="false">IF(E43="TERM","",IF(E43="NONE",REPT(" ",17),REPT(" ",15-LEN(E43))&amp;E43))&amp;IF(OR(E43="TERM",E43="NONE"),"",IF(F43="TERM","",IF(F43="",",",", ")))</f>
        <v>        XXXXXXX, </v>
      </c>
      <c r="F75" s="41" t="str">
        <f aca="false">IF(F43="TERM","",IF(F43="NONE",REPT(" ",17),REPT(" ",15-LEN(F43))&amp;F43))&amp;IF(OR(F43="TERM",F43="NONE"),"",IF(G43="TERM","",IF(G43="",",",", ")))</f>
        <v>        KC_INT5, </v>
      </c>
      <c r="G75" s="41" t="str">
        <f aca="false">IF(G43="TERM","",IF(G43="NONE",REPT(" ",17),REPT(" ",15-LEN(G43))&amp;G43))&amp;IF(OR(G43="TERM",G43="NONE"),"",IF(H43="TERM","",IF(H43="",",",", ")))</f>
        <v>        KC_BSPC, </v>
      </c>
      <c r="H75" s="41" t="str">
        <f aca="false">IF(H43="TERM","",IF(H43="NONE",REPT(" ",17),REPT(" ",15-LEN(H43))&amp;H43))&amp;IF(OR(H43="TERM",H43="NONE"),"",IF(I43="TERM","",IF(I43="",",",", ")))</f>
        <v>        _______, </v>
      </c>
      <c r="I75" s="41" t="str">
        <f aca="false">IF(I43="TERM","",IF(I43="NONE",REPT(" ",17),REPT(" ",15-LEN(I43))&amp;I43))&amp;IF(OR(I43="TERM",I43="NONE"),"",IF(J43="TERM","",IF(J43="",",",", ")))</f>
        <v>        _______, </v>
      </c>
      <c r="J75" s="41" t="str">
        <f aca="false">IF(J43="TERM","",IF(J43="NONE",REPT(" ",17),REPT(" ",15-LEN(J43))&amp;J43))&amp;IF(OR(J43="TERM",J43="NONE"),"",IF(K43="TERM","",IF(K43="",",",", ")))</f>
        <v>         KC_DEL, </v>
      </c>
      <c r="K75" s="41" t="str">
        <f aca="false">IF(K43="TERM","",IF(K43="NONE",REPT(" ",17),REPT(" ",15-LEN(K43))&amp;K43))&amp;IF(OR(K43="TERM",K43="NONE"),"",IF(L43="TERM","",IF(L43="",",",", ")))</f>
        <v>        KC_INT4, </v>
      </c>
      <c r="L75" s="41" t="str">
        <f aca="false">IF(L43="TERM","",IF(L43="NONE",REPT(" ",17),REPT(" ",15-LEN(L43))&amp;L43))&amp;IF(OR(L43="TERM",L43="NONE"),"",IF(M43="TERM","",IF(M43="",",",", ")))</f>
        <v>        KC_RBRC, </v>
      </c>
      <c r="M75" s="41" t="str">
        <f aca="false">IF(M43="TERM","",IF(M43="NONE",REPT(" ",17),REPT(" ",15-LEN(M43))&amp;M43))&amp;IF(OR(M43="TERM",M43="NONE"),"",IF(N43="TERM","",IF(N43="",",",", ")))</f>
        <v>        KC_BSLS, </v>
      </c>
      <c r="N75" s="41" t="str">
        <f aca="false">IF(N43="TERM","",IF(N43="NONE",REPT(" ",17),REPT(" ",15-LEN(N43))&amp;N43))&amp;IF(OR(N43="TERM",N43="NONE"),"",IF(O43="TERM","",IF(O43="",",",", ")))</f>
        <v>      S(KC_EQL), </v>
      </c>
      <c r="O75" s="43" t="str">
        <f aca="false">IF(O43="TERM","",IF(O43="NONE",REPT(" ",17),REPT(" ",15-LEN(O43))&amp;O43))&amp;IF(OR(O43="TERM",O43="NONE"),"",IF(P43="TERM","",IF(P43="",",",", ")))</f>
        <v>     S(KC_INT3),</v>
      </c>
    </row>
    <row r="76" customFormat="false" ht="21" hidden="false" customHeight="true" outlineLevel="0" collapsed="false">
      <c r="A76" s="34"/>
      <c r="B76" s="44" t="str">
        <f aca="false">IF(B44="TERM","",IF(B44="NONE",REPT(" ",17),REPT(" ",15-LEN(B44))&amp;B44))&amp;IF(OR(B44="TERM",B44="NONE"),"",IF(C44="TERM","",IF(C44="",",",", ")))</f>
        <v>                 </v>
      </c>
      <c r="C76" s="44" t="str">
        <f aca="false">IF(C44="TERM","",IF(C44="NONE",REPT(" ",17),REPT(" ",15-LEN(C44))&amp;C44))&amp;IF(OR(C44="TERM",C44="NONE"),"",IF(D44="TERM","",IF(D44="",",",", ")))</f>
        <v>                 </v>
      </c>
      <c r="D76" s="44" t="str">
        <f aca="false">IF(D44="TERM","",IF(D44="NONE",REPT(" ",17),REPT(" ",15-LEN(D44))&amp;D44))&amp;IF(OR(D44="TERM",D44="NONE"),"",IF(E44="TERM","",IF(E44="",",",", ")))</f>
        <v>                 </v>
      </c>
      <c r="E76" s="45" t="str">
        <f aca="false">IF(E44="TERM","",IF(E44="NONE",REPT(" ",17),REPT(" ",15-LEN(E44))&amp;E44))&amp;IF(OR(E44="TERM",E44="NONE"),"",IF(F44="TERM","",IF(F44="",",",", ")))</f>
        <v>        _______, </v>
      </c>
      <c r="F76" s="45" t="str">
        <f aca="false">IF(F44="TERM","",IF(F44="NONE",REPT(" ",17),REPT(" ",15-LEN(F44))&amp;F44))&amp;IF(OR(F44="TERM",F44="NONE"),"",IF(G44="TERM","",IF(G44="",",",", ")))</f>
        <v>        _______, </v>
      </c>
      <c r="G76" s="45" t="str">
        <f aca="false">IF(G44="TERM","",IF(G44="NONE",REPT(" ",17),REPT(" ",15-LEN(G44))&amp;G44))&amp;IF(OR(G44="TERM",G44="NONE"),"",IF(H44="TERM","",IF(H44="",",",", ")))</f>
        <v>        _______, </v>
      </c>
      <c r="H76" s="45" t="str">
        <f aca="false">IF(H44="TERM","",IF(H44="NONE",REPT(" ",17),REPT(" ",15-LEN(H44))&amp;H44))&amp;IF(OR(H44="TERM",H44="NONE"),"",IF(I44="TERM","",IF(I44="",",",", ")))</f>
        <v>        _______, </v>
      </c>
      <c r="I76" s="45" t="str">
        <f aca="false">IF(I44="TERM","",IF(I44="NONE",REPT(" ",17),REPT(" ",15-LEN(I44))&amp;I44))&amp;IF(OR(I44="TERM",I44="NONE"),"",IF(J44="TERM","",IF(J44="",",",", ")))</f>
        <v>        _______, </v>
      </c>
      <c r="J76" s="45" t="str">
        <f aca="false">IF(J44="TERM","",IF(J44="NONE",REPT(" ",17),REPT(" ",15-LEN(J44))&amp;J44))&amp;IF(OR(J44="TERM",J44="NONE"),"",IF(K44="TERM","",IF(K44="",",",", ")))</f>
        <v>        _______, </v>
      </c>
      <c r="K76" s="45" t="str">
        <f aca="false">IF(K44="TERM","",IF(K44="NONE",REPT(" ",17),REPT(" ",15-LEN(K44))&amp;K44))&amp;IF(OR(K44="TERM",K44="NONE"),"",IF(L44="TERM","",IF(L44="",",",", ")))</f>
        <v>        _______, </v>
      </c>
      <c r="L76" s="45" t="str">
        <f aca="false">IF(L44="TERM","",IF(L44="NONE",REPT(" ",17),REPT(" ",15-LEN(L44))&amp;L44))&amp;IF(OR(L44="TERM",L44="NONE"),"",IF(M44="TERM","",IF(M44="",",",", ")))</f>
        <v>        _______</v>
      </c>
      <c r="M76" s="44" t="str">
        <f aca="false">IF(M44="TERM","",IF(M44="NONE",REPT(" ",17),REPT(" ",15-LEN(M44))&amp;M44))&amp;IF(OR(M44="TERM",M44="NONE"),"",IF(N44="TERM","",IF(N44="",",",", ")))</f>
        <v/>
      </c>
      <c r="N76" s="44" t="str">
        <f aca="false">IF(N44="TERM","",IF(N44="NONE",REPT(" ",17),REPT(" ",15-LEN(N44))&amp;N44))&amp;IF(OR(N44="TERM",N44="NONE"),"",IF(O44="TERM","",IF(O44="",",",", ")))</f>
        <v/>
      </c>
      <c r="O76" s="46" t="str">
        <f aca="false">IF(O44="TERM","",IF(O44="NONE",REPT(" ",17),REPT(" ",15-LEN(O44))&amp;O44))&amp;IF(OR(O44="TERM",O44="NONE"),"",IF(P44="TERM","",IF(P44="",",",", ")))</f>
        <v/>
      </c>
    </row>
    <row r="77" customFormat="false" ht="21" hidden="false" customHeight="true" outlineLevel="0" collapsed="false">
      <c r="A77" s="26" t="s">
        <v>318</v>
      </c>
      <c r="B77" s="38" t="str">
        <f aca="false">IF(B45="TERM","",IF(B45="NONE",REPT(" ",17),REPT(" ",15-LEN(B45))&amp;B45))&amp;IF(OR(B45="TERM",B45="NONE"),"",IF(C45="TERM","",IF(C45="",",",", ")))</f>
        <v>          KC_F1, </v>
      </c>
      <c r="C77" s="38" t="str">
        <f aca="false">IF(C45="TERM","",IF(C45="NONE",REPT(" ",17),REPT(" ",15-LEN(C45))&amp;C45))&amp;IF(OR(C45="TERM",C45="NONE"),"",IF(D45="TERM","",IF(D45="",",",", ")))</f>
        <v>          KC_F2, </v>
      </c>
      <c r="D77" s="38" t="str">
        <f aca="false">IF(D45="TERM","",IF(D45="NONE",REPT(" ",17),REPT(" ",15-LEN(D45))&amp;D45))&amp;IF(OR(D45="TERM",D45="NONE"),"",IF(E45="TERM","",IF(E45="",",",", ")))</f>
        <v>          KC_F3, </v>
      </c>
      <c r="E77" s="38" t="str">
        <f aca="false">IF(E45="TERM","",IF(E45="NONE",REPT(" ",17),REPT(" ",15-LEN(E45))&amp;E45))&amp;IF(OR(E45="TERM",E45="NONE"),"",IF(F45="TERM","",IF(F45="",",",", ")))</f>
        <v>          KC_F4, </v>
      </c>
      <c r="F77" s="38" t="str">
        <f aca="false">IF(F45="TERM","",IF(F45="NONE",REPT(" ",17),REPT(" ",15-LEN(F45))&amp;F45))&amp;IF(OR(F45="TERM",F45="NONE"),"",IF(G45="TERM","",IF(G45="",",",", ")))</f>
        <v>          KC_F5, </v>
      </c>
      <c r="G77" s="38" t="str">
        <f aca="false">IF(G45="TERM","",IF(G45="NONE",REPT(" ",17),REPT(" ",15-LEN(G45))&amp;G45))&amp;IF(OR(G45="TERM",G45="NONE"),"",IF(H45="TERM","",IF(H45="",",",", ")))</f>
        <v>          KC_F6, </v>
      </c>
      <c r="H77" s="39" t="str">
        <f aca="false">IF(H45="TERM","",IF(H45="NONE",REPT(" ",17),REPT(" ",15-LEN(H45))&amp;H45))&amp;IF(OR(H45="TERM",H45="NONE"),"",IF(I45="TERM","",IF(I45="",",",", ")))</f>
        <v>                 </v>
      </c>
      <c r="I77" s="39" t="str">
        <f aca="false">IF(I45="TERM","",IF(I45="NONE",REPT(" ",17),REPT(" ",15-LEN(I45))&amp;I45))&amp;IF(OR(I45="TERM",I45="NONE"),"",IF(J45="TERM","",IF(J45="",",",", ")))</f>
        <v>                 </v>
      </c>
      <c r="J77" s="38" t="str">
        <f aca="false">IF(J45="TERM","",IF(J45="NONE",REPT(" ",17),REPT(" ",15-LEN(J45))&amp;J45))&amp;IF(OR(J45="TERM",J45="NONE"),"",IF(K45="TERM","",IF(K45="",",",", ")))</f>
        <v>          KC_F7, </v>
      </c>
      <c r="K77" s="38" t="str">
        <f aca="false">IF(K45="TERM","",IF(K45="NONE",REPT(" ",17),REPT(" ",15-LEN(K45))&amp;K45))&amp;IF(OR(K45="TERM",K45="NONE"),"",IF(L45="TERM","",IF(L45="",",",", ")))</f>
        <v>          KC_F8, </v>
      </c>
      <c r="L77" s="38" t="str">
        <f aca="false">IF(L45="TERM","",IF(L45="NONE",REPT(" ",17),REPT(" ",15-LEN(L45))&amp;L45))&amp;IF(OR(L45="TERM",L45="NONE"),"",IF(M45="TERM","",IF(M45="",",",", ")))</f>
        <v>          KC_F9, </v>
      </c>
      <c r="M77" s="38" t="str">
        <f aca="false">IF(M45="TERM","",IF(M45="NONE",REPT(" ",17),REPT(" ",15-LEN(M45))&amp;M45))&amp;IF(OR(M45="TERM",M45="NONE"),"",IF(N45="TERM","",IF(N45="",",",", ")))</f>
        <v>         KC_F10, </v>
      </c>
      <c r="N77" s="38" t="str">
        <f aca="false">IF(N45="TERM","",IF(N45="NONE",REPT(" ",17),REPT(" ",15-LEN(N45))&amp;N45))&amp;IF(OR(N45="TERM",N45="NONE"),"",IF(O45="TERM","",IF(O45="",",",", ")))</f>
        <v>         KC_F11, </v>
      </c>
      <c r="O77" s="40" t="str">
        <f aca="false">IF(O45="TERM","",IF(O45="NONE",REPT(" ",17),REPT(" ",15-LEN(O45))&amp;O45))&amp;IF(OR(O45="TERM",O45="NONE"),"",IF(P45="TERM","",IF(P45="",",",", ")))</f>
        <v>         KC_F12,</v>
      </c>
    </row>
    <row r="78" customFormat="false" ht="21" hidden="false" customHeight="true" outlineLevel="0" collapsed="false">
      <c r="A78" s="30"/>
      <c r="B78" s="41" t="str">
        <f aca="false">IF(B46="TERM","",IF(B46="NONE",REPT(" ",17),REPT(" ",15-LEN(B46))&amp;B46))&amp;IF(OR(B46="TERM",B46="NONE"),"",IF(C46="TERM","",IF(C46="",",",", ")))</f>
        <v>        XXXXXXX, </v>
      </c>
      <c r="C78" s="41" t="str">
        <f aca="false">IF(C46="TERM","",IF(C46="NONE",REPT(" ",17),REPT(" ",15-LEN(C46))&amp;C46))&amp;IF(OR(C46="TERM",C46="NONE"),"",IF(D46="TERM","",IF(D46="",",",", ")))</f>
        <v>        XXXXXXX, </v>
      </c>
      <c r="D78" s="41" t="str">
        <f aca="false">IF(D46="TERM","",IF(D46="NONE",REPT(" ",17),REPT(" ",15-LEN(D46))&amp;D46))&amp;IF(OR(D46="TERM",D46="NONE"),"",IF(E46="TERM","",IF(E46="",",",", ")))</f>
        <v>        XXXXXXX, </v>
      </c>
      <c r="E78" s="41" t="str">
        <f aca="false">IF(E46="TERM","",IF(E46="NONE",REPT(" ",17),REPT(" ",15-LEN(E46))&amp;E46))&amp;IF(OR(E46="TERM",E46="NONE"),"",IF(F46="TERM","",IF(F46="",",",", ")))</f>
        <v>        XXXXXXX, </v>
      </c>
      <c r="F78" s="41" t="str">
        <f aca="false">IF(F46="TERM","",IF(F46="NONE",REPT(" ",17),REPT(" ",15-LEN(F46))&amp;F46))&amp;IF(OR(F46="TERM",F46="NONE"),"",IF(G46="TERM","",IF(G46="",",",", ")))</f>
        <v>        XXXXXXX, </v>
      </c>
      <c r="G78" s="41" t="str">
        <f aca="false">IF(G46="TERM","",IF(G46="NONE",REPT(" ",17),REPT(" ",15-LEN(G46))&amp;G46))&amp;IF(OR(G46="TERM",G46="NONE"),"",IF(H46="TERM","",IF(H46="",",",", ")))</f>
        <v>        XXXXXXX, </v>
      </c>
      <c r="H78" s="42" t="str">
        <f aca="false">IF(H46="TERM","",IF(H46="NONE",REPT(" ",17),REPT(" ",15-LEN(H46))&amp;H46))&amp;IF(OR(H46="TERM",H46="NONE"),"",IF(I46="TERM","",IF(I46="",",",", ")))</f>
        <v>                 </v>
      </c>
      <c r="I78" s="42" t="str">
        <f aca="false">IF(I46="TERM","",IF(I46="NONE",REPT(" ",17),REPT(" ",15-LEN(I46))&amp;I46))&amp;IF(OR(I46="TERM",I46="NONE"),"",IF(J46="TERM","",IF(J46="",",",", ")))</f>
        <v>                 </v>
      </c>
      <c r="J78" s="41" t="str">
        <f aca="false">IF(J46="TERM","",IF(J46="NONE",REPT(" ",17),REPT(" ",15-LEN(J46))&amp;J46))&amp;IF(OR(J46="TERM",J46="NONE"),"",IF(K46="TERM","",IF(K46="",",",", ")))</f>
        <v>        XXXXXXX, </v>
      </c>
      <c r="K78" s="41" t="str">
        <f aca="false">IF(K46="TERM","",IF(K46="NONE",REPT(" ",17),REPT(" ",15-LEN(K46))&amp;K46))&amp;IF(OR(K46="TERM",K46="NONE"),"",IF(L46="TERM","",IF(L46="",",",", ")))</f>
        <v>        XXXXXXX, </v>
      </c>
      <c r="L78" s="41" t="str">
        <f aca="false">IF(L46="TERM","",IF(L46="NONE",REPT(" ",17),REPT(" ",15-LEN(L46))&amp;L46))&amp;IF(OR(L46="TERM",L46="NONE"),"",IF(M46="TERM","",IF(M46="",",",", ")))</f>
        <v>        XXXXXXX, </v>
      </c>
      <c r="M78" s="41" t="str">
        <f aca="false">IF(M46="TERM","",IF(M46="NONE",REPT(" ",17),REPT(" ",15-LEN(M46))&amp;M46))&amp;IF(OR(M46="TERM",M46="NONE"),"",IF(N46="TERM","",IF(N46="",",",", ")))</f>
        <v>        XXXXXXX, </v>
      </c>
      <c r="N78" s="41" t="str">
        <f aca="false">IF(N46="TERM","",IF(N46="NONE",REPT(" ",17),REPT(" ",15-LEN(N46))&amp;N46))&amp;IF(OR(N46="TERM",N46="NONE"),"",IF(O46="TERM","",IF(O46="",",",", ")))</f>
        <v>        XXXXXXX, </v>
      </c>
      <c r="O78" s="43" t="str">
        <f aca="false">IF(O46="TERM","",IF(O46="NONE",REPT(" ",17),REPT(" ",15-LEN(O46))&amp;O46))&amp;IF(OR(O46="TERM",O46="NONE"),"",IF(P46="TERM","",IF(P46="",",",", ")))</f>
        <v>        XXXXXXX,</v>
      </c>
    </row>
    <row r="79" customFormat="false" ht="21" hidden="false" customHeight="true" outlineLevel="0" collapsed="false">
      <c r="A79" s="30"/>
      <c r="B79" s="41" t="str">
        <f aca="false">IF(B47="TERM","",IF(B47="NONE",REPT(" ",17),REPT(" ",15-LEN(B47))&amp;B47))&amp;IF(OR(B47="TERM",B47="NONE"),"",IF(C47="TERM","",IF(C47="",",",", ")))</f>
        <v>         KC_GRV, </v>
      </c>
      <c r="C79" s="41" t="str">
        <f aca="false">IF(C47="TERM","",IF(C47="NONE",REPT(" ",17),REPT(" ",15-LEN(C47))&amp;C47))&amp;IF(OR(C47="TERM",C47="NONE"),"",IF(D47="TERM","",IF(D47="",",",", ")))</f>
        <v>           KC_1, </v>
      </c>
      <c r="D79" s="41" t="str">
        <f aca="false">IF(D47="TERM","",IF(D47="NONE",REPT(" ",17),REPT(" ",15-LEN(D47))&amp;D47))&amp;IF(OR(D47="TERM",D47="NONE"),"",IF(E47="TERM","",IF(E47="",",",", ")))</f>
        <v>           KC_2, </v>
      </c>
      <c r="E79" s="41" t="str">
        <f aca="false">IF(E47="TERM","",IF(E47="NONE",REPT(" ",17),REPT(" ",15-LEN(E47))&amp;E47))&amp;IF(OR(E47="TERM",E47="NONE"),"",IF(F47="TERM","",IF(F47="",",",", ")))</f>
        <v>           KC_3, </v>
      </c>
      <c r="F79" s="41" t="str">
        <f aca="false">IF(F47="TERM","",IF(F47="NONE",REPT(" ",17),REPT(" ",15-LEN(F47))&amp;F47))&amp;IF(OR(F47="TERM",F47="NONE"),"",IF(G47="TERM","",IF(G47="",",",", ")))</f>
        <v>           KC_4, </v>
      </c>
      <c r="G79" s="41" t="str">
        <f aca="false">IF(G47="TERM","",IF(G47="NONE",REPT(" ",17),REPT(" ",15-LEN(G47))&amp;G47))&amp;IF(OR(G47="TERM",G47="NONE"),"",IF(H47="TERM","",IF(H47="",",",", ")))</f>
        <v>           KC_5, </v>
      </c>
      <c r="H79" s="42" t="str">
        <f aca="false">IF(H47="TERM","",IF(H47="NONE",REPT(" ",17),REPT(" ",15-LEN(H47))&amp;H47))&amp;IF(OR(H47="TERM",H47="NONE"),"",IF(I47="TERM","",IF(I47="",",",", ")))</f>
        <v>                 </v>
      </c>
      <c r="I79" s="42" t="str">
        <f aca="false">IF(I47="TERM","",IF(I47="NONE",REPT(" ",17),REPT(" ",15-LEN(I47))&amp;I47))&amp;IF(OR(I47="TERM",I47="NONE"),"",IF(J47="TERM","",IF(J47="",",",", ")))</f>
        <v>                 </v>
      </c>
      <c r="J79" s="41" t="str">
        <f aca="false">IF(J47="TERM","",IF(J47="NONE",REPT(" ",17),REPT(" ",15-LEN(J47))&amp;J47))&amp;IF(OR(J47="TERM",J47="NONE"),"",IF(K47="TERM","",IF(K47="",",",", ")))</f>
        <v>           KC_6, </v>
      </c>
      <c r="K79" s="41" t="str">
        <f aca="false">IF(K47="TERM","",IF(K47="NONE",REPT(" ",17),REPT(" ",15-LEN(K47))&amp;K47))&amp;IF(OR(K47="TERM",K47="NONE"),"",IF(L47="TERM","",IF(L47="",",",", ")))</f>
        <v>           KC_7, </v>
      </c>
      <c r="L79" s="41" t="str">
        <f aca="false">IF(L47="TERM","",IF(L47="NONE",REPT(" ",17),REPT(" ",15-LEN(L47))&amp;L47))&amp;IF(OR(L47="TERM",L47="NONE"),"",IF(M47="TERM","",IF(M47="",",",", ")))</f>
        <v>           KC_8, </v>
      </c>
      <c r="M79" s="41" t="str">
        <f aca="false">IF(M47="TERM","",IF(M47="NONE",REPT(" ",17),REPT(" ",15-LEN(M47))&amp;M47))&amp;IF(OR(M47="TERM",M47="NONE"),"",IF(N47="TERM","",IF(N47="",",",", ")))</f>
        <v>           KC_9, </v>
      </c>
      <c r="N79" s="41" t="str">
        <f aca="false">IF(N47="TERM","",IF(N47="NONE",REPT(" ",17),REPT(" ",15-LEN(N47))&amp;N47))&amp;IF(OR(N47="TERM",N47="NONE"),"",IF(O47="TERM","",IF(O47="",",",", ")))</f>
        <v>           KC_0, </v>
      </c>
      <c r="O79" s="43" t="str">
        <f aca="false">IF(O47="TERM","",IF(O47="NONE",REPT(" ",17),REPT(" ",15-LEN(O47))&amp;O47))&amp;IF(OR(O47="TERM",O47="NONE"),"",IF(P47="TERM","",IF(P47="",",",", ")))</f>
        <v>        _______,</v>
      </c>
    </row>
    <row r="80" customFormat="false" ht="21" hidden="false" customHeight="true" outlineLevel="0" collapsed="false">
      <c r="A80" s="30"/>
      <c r="B80" s="41" t="str">
        <f aca="false">IF(B48="TERM","",IF(B48="NONE",REPT(" ",17),REPT(" ",15-LEN(B48))&amp;B48))&amp;IF(OR(B48="TERM",B48="NONE"),"",IF(C48="TERM","",IF(C48="",",",", ")))</f>
        <v>        _______, </v>
      </c>
      <c r="C80" s="41" t="str">
        <f aca="false">IF(C48="TERM","",IF(C48="NONE",REPT(" ",17),REPT(" ",15-LEN(C48))&amp;C48))&amp;IF(OR(C48="TERM",C48="NONE"),"",IF(D48="TERM","",IF(D48="",",",", ")))</f>
        <v>        _______, </v>
      </c>
      <c r="D80" s="41" t="str">
        <f aca="false">IF(D48="TERM","",IF(D48="NONE",REPT(" ",17),REPT(" ",15-LEN(D48))&amp;D48))&amp;IF(OR(D48="TERM",D48="NONE"),"",IF(E48="TERM","",IF(E48="",",",", ")))</f>
        <v>        MS_WHLL, </v>
      </c>
      <c r="E80" s="41" t="str">
        <f aca="false">IF(E48="TERM","",IF(E48="NONE",REPT(" ",17),REPT(" ",15-LEN(E48))&amp;E48))&amp;IF(OR(E48="TERM",E48="NONE"),"",IF(F48="TERM","",IF(F48="",",",", ")))</f>
        <v>        MS_WHLR, </v>
      </c>
      <c r="F80" s="41" t="str">
        <f aca="false">IF(F48="TERM","",IF(F48="NONE",REPT(" ",17),REPT(" ",15-LEN(F48))&amp;F48))&amp;IF(OR(F48="TERM",F48="NONE"),"",IF(G48="TERM","",IF(G48="",",",", ")))</f>
        <v>        _______, </v>
      </c>
      <c r="G80" s="41" t="str">
        <f aca="false">IF(G48="TERM","",IF(G48="NONE",REPT(" ",17),REPT(" ",15-LEN(G48))&amp;G48))&amp;IF(OR(G48="TERM",G48="NONE"),"",IF(H48="TERM","",IF(H48="",",",", ")))</f>
        <v>        _______, </v>
      </c>
      <c r="H80" s="41" t="str">
        <f aca="false">IF(H48="TERM","",IF(H48="NONE",REPT(" ",17),REPT(" ",15-LEN(H48))&amp;H48))&amp;IF(OR(H48="TERM",H48="NONE"),"",IF(I48="TERM","",IF(I48="",",",", ")))</f>
        <v>        _______, </v>
      </c>
      <c r="I80" s="41" t="str">
        <f aca="false">IF(I48="TERM","",IF(I48="NONE",REPT(" ",17),REPT(" ",15-LEN(I48))&amp;I48))&amp;IF(OR(I48="TERM",I48="NONE"),"",IF(J48="TERM","",IF(J48="",",",", ")))</f>
        <v>        _______, </v>
      </c>
      <c r="J80" s="41" t="str">
        <f aca="false">IF(J48="TERM","",IF(J48="NONE",REPT(" ",17),REPT(" ",15-LEN(J48))&amp;J48))&amp;IF(OR(J48="TERM",J48="NONE"),"",IF(K48="TERM","",IF(K48="",",",", ")))</f>
        <v>        _______, </v>
      </c>
      <c r="K80" s="41" t="str">
        <f aca="false">IF(K48="TERM","",IF(K48="NONE",REPT(" ",17),REPT(" ",15-LEN(K48))&amp;K48))&amp;IF(OR(K48="TERM",K48="NONE"),"",IF(L48="TERM","",IF(L48="",",",", ")))</f>
        <v>        _______, </v>
      </c>
      <c r="L80" s="41" t="str">
        <f aca="false">IF(L48="TERM","",IF(L48="NONE",REPT(" ",17),REPT(" ",15-LEN(L48))&amp;L48))&amp;IF(OR(L48="TERM",L48="NONE"),"",IF(M48="TERM","",IF(M48="",",",", ")))</f>
        <v>        KC_COMM, </v>
      </c>
      <c r="M80" s="41" t="str">
        <f aca="false">IF(M48="TERM","",IF(M48="NONE",REPT(" ",17),REPT(" ",15-LEN(M48))&amp;M48))&amp;IF(OR(M48="TERM",M48="NONE"),"",IF(N48="TERM","",IF(N48="",",",", ")))</f>
        <v>         KC_DOT, </v>
      </c>
      <c r="N80" s="41" t="str">
        <f aca="false">IF(N48="TERM","",IF(N48="NONE",REPT(" ",17),REPT(" ",15-LEN(N48))&amp;N48))&amp;IF(OR(N48="TERM",N48="NONE"),"",IF(O48="TERM","",IF(O48="",",",", ")))</f>
        <v>        KC_SLSH, </v>
      </c>
      <c r="O80" s="43" t="str">
        <f aca="false">IF(O48="TERM","",IF(O48="NONE",REPT(" ",17),REPT(" ",15-LEN(O48))&amp;O48))&amp;IF(OR(O48="TERM",O48="NONE"),"",IF(P48="TERM","",IF(P48="",",",", ")))</f>
        <v>        KC_INT1,</v>
      </c>
    </row>
    <row r="81" customFormat="false" ht="21" hidden="false" customHeight="true" outlineLevel="0" collapsed="false">
      <c r="A81" s="34"/>
      <c r="B81" s="44" t="str">
        <f aca="false">IF(B49="TERM","",IF(B49="NONE",REPT(" ",17),REPT(" ",15-LEN(B49))&amp;B49))&amp;IF(OR(B49="TERM",B49="NONE"),"",IF(C49="TERM","",IF(C49="",",",", ")))</f>
        <v>                 </v>
      </c>
      <c r="C81" s="44" t="str">
        <f aca="false">IF(C49="TERM","",IF(C49="NONE",REPT(" ",17),REPT(" ",15-LEN(C49))&amp;C49))&amp;IF(OR(C49="TERM",C49="NONE"),"",IF(D49="TERM","",IF(D49="",",",", ")))</f>
        <v>                 </v>
      </c>
      <c r="D81" s="44" t="str">
        <f aca="false">IF(D49="TERM","",IF(D49="NONE",REPT(" ",17),REPT(" ",15-LEN(D49))&amp;D49))&amp;IF(OR(D49="TERM",D49="NONE"),"",IF(E49="TERM","",IF(E49="",",",", ")))</f>
        <v>                 </v>
      </c>
      <c r="E81" s="45" t="str">
        <f aca="false">IF(E49="TERM","",IF(E49="NONE",REPT(" ",17),REPT(" ",15-LEN(E49))&amp;E49))&amp;IF(OR(E49="TERM",E49="NONE"),"",IF(F49="TERM","",IF(F49="",",",", ")))</f>
        <v>        _______, </v>
      </c>
      <c r="F81" s="45" t="str">
        <f aca="false">IF(F49="TERM","",IF(F49="NONE",REPT(" ",17),REPT(" ",15-LEN(F49))&amp;F49))&amp;IF(OR(F49="TERM",F49="NONE"),"",IF(G49="TERM","",IF(G49="",",",", ")))</f>
        <v>        _______, </v>
      </c>
      <c r="G81" s="45" t="str">
        <f aca="false">IF(G49="TERM","",IF(G49="NONE",REPT(" ",17),REPT(" ",15-LEN(G49))&amp;G49))&amp;IF(OR(G49="TERM",G49="NONE"),"",IF(H49="TERM","",IF(H49="",",",", ")))</f>
        <v>        _______, </v>
      </c>
      <c r="H81" s="45" t="str">
        <f aca="false">IF(H49="TERM","",IF(H49="NONE",REPT(" ",17),REPT(" ",15-LEN(H49))&amp;H49))&amp;IF(OR(H49="TERM",H49="NONE"),"",IF(I49="TERM","",IF(I49="",",",", ")))</f>
        <v>        _______, </v>
      </c>
      <c r="I81" s="45" t="str">
        <f aca="false">IF(I49="TERM","",IF(I49="NONE",REPT(" ",17),REPT(" ",15-LEN(I49))&amp;I49))&amp;IF(OR(I49="TERM",I49="NONE"),"",IF(J49="TERM","",IF(J49="",",",", ")))</f>
        <v>        _______, </v>
      </c>
      <c r="J81" s="45" t="str">
        <f aca="false">IF(J49="TERM","",IF(J49="NONE",REPT(" ",17),REPT(" ",15-LEN(J49))&amp;J49))&amp;IF(OR(J49="TERM",J49="NONE"),"",IF(K49="TERM","",IF(K49="",",",", ")))</f>
        <v>        _______, </v>
      </c>
      <c r="K81" s="45" t="str">
        <f aca="false">IF(K49="TERM","",IF(K49="NONE",REPT(" ",17),REPT(" ",15-LEN(K49))&amp;K49))&amp;IF(OR(K49="TERM",K49="NONE"),"",IF(L49="TERM","",IF(L49="",",",", ")))</f>
        <v>        _______, </v>
      </c>
      <c r="L81" s="45" t="str">
        <f aca="false">IF(L49="TERM","",IF(L49="NONE",REPT(" ",17),REPT(" ",15-LEN(L49))&amp;L49))&amp;IF(OR(L49="TERM",L49="NONE"),"",IF(M49="TERM","",IF(M49="",",",", ")))</f>
        <v>        _______</v>
      </c>
      <c r="M81" s="44" t="str">
        <f aca="false">IF(M49="TERM","",IF(M49="NONE",REPT(" ",17),REPT(" ",15-LEN(M49))&amp;M49))&amp;IF(OR(M49="TERM",M49="NONE"),"",IF(N49="TERM","",IF(N49="",",",", ")))</f>
        <v/>
      </c>
      <c r="N81" s="44" t="str">
        <f aca="false">IF(N49="TERM","",IF(N49="NONE",REPT(" ",17),REPT(" ",15-LEN(N49))&amp;N49))&amp;IF(OR(N49="TERM",N49="NONE"),"",IF(O49="TERM","",IF(O49="",",",", ")))</f>
        <v/>
      </c>
      <c r="O81" s="46" t="str">
        <f aca="false">IF(O49="TERM","",IF(O49="NONE",REPT(" ",17),REPT(" ",15-LEN(O49))&amp;O49))&amp;IF(OR(O49="TERM",O49="NONE"),"",IF(P49="TERM","",IF(P49="",",",", ")))</f>
        <v/>
      </c>
    </row>
    <row r="82" customFormat="false" ht="21" hidden="false" customHeight="true" outlineLevel="0" collapsed="false">
      <c r="A82" s="26" t="s">
        <v>319</v>
      </c>
      <c r="B82" s="38" t="str">
        <f aca="false">IF(B50="TERM","",IF(B50="NONE",REPT(" ",17),REPT(" ",15-LEN(B50))&amp;B50))&amp;IF(OR(B50="TERM",B50="NONE"),"",IF(C50="TERM","",IF(C50="",",",", ")))</f>
        <v>         KC_ESC, </v>
      </c>
      <c r="C82" s="38" t="str">
        <f aca="false">IF(C50="TERM","",IF(C50="NONE",REPT(" ",17),REPT(" ",15-LEN(C50))&amp;C50))&amp;IF(OR(C50="TERM",C50="NONE"),"",IF(D50="TERM","",IF(D50="",",",", ")))</f>
        <v>           KC_1, </v>
      </c>
      <c r="D82" s="38" t="str">
        <f aca="false">IF(D50="TERM","",IF(D50="NONE",REPT(" ",17),REPT(" ",15-LEN(D50))&amp;D50))&amp;IF(OR(D50="TERM",D50="NONE"),"",IF(E50="TERM","",IF(E50="",",",", ")))</f>
        <v>           KC_2, </v>
      </c>
      <c r="E82" s="38" t="str">
        <f aca="false">IF(E50="TERM","",IF(E50="NONE",REPT(" ",17),REPT(" ",15-LEN(E50))&amp;E50))&amp;IF(OR(E50="TERM",E50="NONE"),"",IF(F50="TERM","",IF(F50="",",",", ")))</f>
        <v>           KC_3, </v>
      </c>
      <c r="F82" s="38" t="str">
        <f aca="false">IF(F50="TERM","",IF(F50="NONE",REPT(" ",17),REPT(" ",15-LEN(F50))&amp;F50))&amp;IF(OR(F50="TERM",F50="NONE"),"",IF(G50="TERM","",IF(G50="",",",", ")))</f>
        <v>           KC_4, </v>
      </c>
      <c r="G82" s="38" t="str">
        <f aca="false">IF(G50="TERM","",IF(G50="NONE",REPT(" ",17),REPT(" ",15-LEN(G50))&amp;G50))&amp;IF(OR(G50="TERM",G50="NONE"),"",IF(H50="TERM","",IF(H50="",",",", ")))</f>
        <v>           KC_5, </v>
      </c>
      <c r="H82" s="39" t="str">
        <f aca="false">IF(H50="TERM","",IF(H50="NONE",REPT(" ",17),REPT(" ",15-LEN(H50))&amp;H50))&amp;IF(OR(H50="TERM",H50="NONE"),"",IF(I50="TERM","",IF(I50="",",",", ")))</f>
        <v>                 </v>
      </c>
      <c r="I82" s="39" t="str">
        <f aca="false">IF(I50="TERM","",IF(I50="NONE",REPT(" ",17),REPT(" ",15-LEN(I50))&amp;I50))&amp;IF(OR(I50="TERM",I50="NONE"),"",IF(J50="TERM","",IF(J50="",",",", ")))</f>
        <v>                 </v>
      </c>
      <c r="J82" s="38" t="str">
        <f aca="false">IF(J50="TERM","",IF(J50="NONE",REPT(" ",17),REPT(" ",15-LEN(J50))&amp;J50))&amp;IF(OR(J50="TERM",J50="NONE"),"",IF(K50="TERM","",IF(K50="",",",", ")))</f>
        <v>           KC_6, </v>
      </c>
      <c r="K82" s="38" t="str">
        <f aca="false">IF(K50="TERM","",IF(K50="NONE",REPT(" ",17),REPT(" ",15-LEN(K50))&amp;K50))&amp;IF(OR(K50="TERM",K50="NONE"),"",IF(L50="TERM","",IF(L50="",",",", ")))</f>
        <v>           KC_7, </v>
      </c>
      <c r="L82" s="38" t="str">
        <f aca="false">IF(L50="TERM","",IF(L50="NONE",REPT(" ",17),REPT(" ",15-LEN(L50))&amp;L50))&amp;IF(OR(L50="TERM",L50="NONE"),"",IF(M50="TERM","",IF(M50="",",",", ")))</f>
        <v>           KC_8, </v>
      </c>
      <c r="M82" s="38" t="str">
        <f aca="false">IF(M50="TERM","",IF(M50="NONE",REPT(" ",17),REPT(" ",15-LEN(M50))&amp;M50))&amp;IF(OR(M50="TERM",M50="NONE"),"",IF(N50="TERM","",IF(N50="",",",", ")))</f>
        <v>           KC_9, </v>
      </c>
      <c r="N82" s="38" t="str">
        <f aca="false">IF(N50="TERM","",IF(N50="NONE",REPT(" ",17),REPT(" ",15-LEN(N50))&amp;N50))&amp;IF(OR(N50="TERM",N50="NONE"),"",IF(O50="TERM","",IF(O50="",",",", ")))</f>
        <v>           KC_0, </v>
      </c>
      <c r="O82" s="40" t="str">
        <f aca="false">IF(O50="TERM","",IF(O50="NONE",REPT(" ",17),REPT(" ",15-LEN(O50))&amp;O50))&amp;IF(OR(O50="TERM",O50="NONE"),"",IF(P50="TERM","",IF(P50="",",",", ")))</f>
        <v>        KC_MINS,</v>
      </c>
    </row>
    <row r="83" customFormat="false" ht="21" hidden="false" customHeight="true" outlineLevel="0" collapsed="false">
      <c r="A83" s="30"/>
      <c r="B83" s="41" t="str">
        <f aca="false">IF(B51="TERM","",IF(B51="NONE",REPT(" ",17),REPT(" ",15-LEN(B51))&amp;B51))&amp;IF(OR(B51="TERM",B51="NONE"),"",IF(C51="TERM","",IF(C51="",",",", ")))</f>
        <v>         KC_TAB, </v>
      </c>
      <c r="C83" s="41" t="str">
        <f aca="false">IF(C51="TERM","",IF(C51="NONE",REPT(" ",17),REPT(" ",15-LEN(C51))&amp;C51))&amp;IF(OR(C51="TERM",C51="NONE"),"",IF(D51="TERM","",IF(D51="",",",", ")))</f>
        <v>           KC_Q, </v>
      </c>
      <c r="D83" s="41" t="str">
        <f aca="false">IF(D51="TERM","",IF(D51="NONE",REPT(" ",17),REPT(" ",15-LEN(D51))&amp;D51))&amp;IF(OR(D51="TERM",D51="NONE"),"",IF(E51="TERM","",IF(E51="",",",", ")))</f>
        <v>           KC_W, </v>
      </c>
      <c r="E83" s="41" t="str">
        <f aca="false">IF(E51="TERM","",IF(E51="NONE",REPT(" ",17),REPT(" ",15-LEN(E51))&amp;E51))&amp;IF(OR(E51="TERM",E51="NONE"),"",IF(F51="TERM","",IF(F51="",",",", ")))</f>
        <v>           KC_E, </v>
      </c>
      <c r="F83" s="41" t="str">
        <f aca="false">IF(F51="TERM","",IF(F51="NONE",REPT(" ",17),REPT(" ",15-LEN(F51))&amp;F51))&amp;IF(OR(F51="TERM",F51="NONE"),"",IF(G51="TERM","",IF(G51="",",",", ")))</f>
        <v>           KC_R, </v>
      </c>
      <c r="G83" s="41" t="str">
        <f aca="false">IF(G51="TERM","",IF(G51="NONE",REPT(" ",17),REPT(" ",15-LEN(G51))&amp;G51))&amp;IF(OR(G51="TERM",G51="NONE"),"",IF(H51="TERM","",IF(H51="",",",", ")))</f>
        <v>           KC_T, </v>
      </c>
      <c r="H83" s="42" t="str">
        <f aca="false">IF(H51="TERM","",IF(H51="NONE",REPT(" ",17),REPT(" ",15-LEN(H51))&amp;H51))&amp;IF(OR(H51="TERM",H51="NONE"),"",IF(I51="TERM","",IF(I51="",",",", ")))</f>
        <v>                 </v>
      </c>
      <c r="I83" s="42" t="str">
        <f aca="false">IF(I51="TERM","",IF(I51="NONE",REPT(" ",17),REPT(" ",15-LEN(I51))&amp;I51))&amp;IF(OR(I51="TERM",I51="NONE"),"",IF(J51="TERM","",IF(J51="",",",", ")))</f>
        <v>                 </v>
      </c>
      <c r="J83" s="41" t="str">
        <f aca="false">IF(J51="TERM","",IF(J51="NONE",REPT(" ",17),REPT(" ",15-LEN(J51))&amp;J51))&amp;IF(OR(J51="TERM",J51="NONE"),"",IF(K51="TERM","",IF(K51="",",",", ")))</f>
        <v>           KC_Y, </v>
      </c>
      <c r="K83" s="41" t="str">
        <f aca="false">IF(K51="TERM","",IF(K51="NONE",REPT(" ",17),REPT(" ",15-LEN(K51))&amp;K51))&amp;IF(OR(K51="TERM",K51="NONE"),"",IF(L51="TERM","",IF(L51="",",",", ")))</f>
        <v>           KC_U, </v>
      </c>
      <c r="L83" s="41" t="str">
        <f aca="false">IF(L51="TERM","",IF(L51="NONE",REPT(" ",17),REPT(" ",15-LEN(L51))&amp;L51))&amp;IF(OR(L51="TERM",L51="NONE"),"",IF(M51="TERM","",IF(M51="",",",", ")))</f>
        <v>           KC_I, </v>
      </c>
      <c r="M83" s="41" t="str">
        <f aca="false">IF(M51="TERM","",IF(M51="NONE",REPT(" ",17),REPT(" ",15-LEN(M51))&amp;M51))&amp;IF(OR(M51="TERM",M51="NONE"),"",IF(N51="TERM","",IF(N51="",",",", ")))</f>
        <v>           KC_O, </v>
      </c>
      <c r="N83" s="41" t="str">
        <f aca="false">IF(N51="TERM","",IF(N51="NONE",REPT(" ",17),REPT(" ",15-LEN(N51))&amp;N51))&amp;IF(OR(N51="TERM",N51="NONE"),"",IF(O51="TERM","",IF(O51="",",",", ")))</f>
        <v>           KC_P, </v>
      </c>
      <c r="O83" s="43" t="str">
        <f aca="false">IF(O51="TERM","",IF(O51="NONE",REPT(" ",17),REPT(" ",15-LEN(O51))&amp;O51))&amp;IF(OR(O51="TERM",O51="NONE"),"",IF(P51="TERM","",IF(P51="",",",", ")))</f>
        <v>        KC_LBRC,</v>
      </c>
    </row>
    <row r="84" customFormat="false" ht="21" hidden="false" customHeight="true" outlineLevel="0" collapsed="false">
      <c r="A84" s="30"/>
      <c r="B84" s="41" t="str">
        <f aca="false">IF(B52="TERM","",IF(B52="NONE",REPT(" ",17),REPT(" ",15-LEN(B52))&amp;B52))&amp;IF(OR(B52="TERM",B52="NONE"),"",IF(C52="TERM","",IF(C52="",",",", ")))</f>
        <v>        KC_LCTL, </v>
      </c>
      <c r="C84" s="41" t="str">
        <f aca="false">IF(C52="TERM","",IF(C52="NONE",REPT(" ",17),REPT(" ",15-LEN(C52))&amp;C52))&amp;IF(OR(C52="TERM",C52="NONE"),"",IF(D52="TERM","",IF(D52="",",",", ")))</f>
        <v>           KC_A, </v>
      </c>
      <c r="D84" s="41" t="str">
        <f aca="false">IF(D52="TERM","",IF(D52="NONE",REPT(" ",17),REPT(" ",15-LEN(D52))&amp;D52))&amp;IF(OR(D52="TERM",D52="NONE"),"",IF(E52="TERM","",IF(E52="",",",", ")))</f>
        <v>           KC_S, </v>
      </c>
      <c r="E84" s="41" t="str">
        <f aca="false">IF(E52="TERM","",IF(E52="NONE",REPT(" ",17),REPT(" ",15-LEN(E52))&amp;E52))&amp;IF(OR(E52="TERM",E52="NONE"),"",IF(F52="TERM","",IF(F52="",",",", ")))</f>
        <v>           KC_D, </v>
      </c>
      <c r="F84" s="41" t="str">
        <f aca="false">IF(F52="TERM","",IF(F52="NONE",REPT(" ",17),REPT(" ",15-LEN(F52))&amp;F52))&amp;IF(OR(F52="TERM",F52="NONE"),"",IF(G52="TERM","",IF(G52="",",",", ")))</f>
        <v>           KC_F, </v>
      </c>
      <c r="G84" s="41" t="str">
        <f aca="false">IF(G52="TERM","",IF(G52="NONE",REPT(" ",17),REPT(" ",15-LEN(G52))&amp;G52))&amp;IF(OR(G52="TERM",G52="NONE"),"",IF(H52="TERM","",IF(H52="",",",", ")))</f>
        <v>           KC_G, </v>
      </c>
      <c r="H84" s="42" t="str">
        <f aca="false">IF(H52="TERM","",IF(H52="NONE",REPT(" ",17),REPT(" ",15-LEN(H52))&amp;H52))&amp;IF(OR(H52="TERM",H52="NONE"),"",IF(I52="TERM","",IF(I52="",",",", ")))</f>
        <v>                 </v>
      </c>
      <c r="I84" s="42" t="str">
        <f aca="false">IF(I52="TERM","",IF(I52="NONE",REPT(" ",17),REPT(" ",15-LEN(I52))&amp;I52))&amp;IF(OR(I52="TERM",I52="NONE"),"",IF(J52="TERM","",IF(J52="",",",", ")))</f>
        <v>                 </v>
      </c>
      <c r="J84" s="41" t="str">
        <f aca="false">IF(J52="TERM","",IF(J52="NONE",REPT(" ",17),REPT(" ",15-LEN(J52))&amp;J52))&amp;IF(OR(J52="TERM",J52="NONE"),"",IF(K52="TERM","",IF(K52="",",",", ")))</f>
        <v>           KC_H, </v>
      </c>
      <c r="K84" s="41" t="str">
        <f aca="false">IF(K52="TERM","",IF(K52="NONE",REPT(" ",17),REPT(" ",15-LEN(K52))&amp;K52))&amp;IF(OR(K52="TERM",K52="NONE"),"",IF(L52="TERM","",IF(L52="",",",", ")))</f>
        <v>           KC_J, </v>
      </c>
      <c r="L84" s="41" t="str">
        <f aca="false">IF(L52="TERM","",IF(L52="NONE",REPT(" ",17),REPT(" ",15-LEN(L52))&amp;L52))&amp;IF(OR(L52="TERM",L52="NONE"),"",IF(M52="TERM","",IF(M52="",",",", ")))</f>
        <v>           KC_K, </v>
      </c>
      <c r="M84" s="41" t="str">
        <f aca="false">IF(M52="TERM","",IF(M52="NONE",REPT(" ",17),REPT(" ",15-LEN(M52))&amp;M52))&amp;IF(OR(M52="TERM",M52="NONE"),"",IF(N52="TERM","",IF(N52="",",",", ")))</f>
        <v>           KC_L, </v>
      </c>
      <c r="N84" s="41" t="str">
        <f aca="false">IF(N52="TERM","",IF(N52="NONE",REPT(" ",17),REPT(" ",15-LEN(N52))&amp;N52))&amp;IF(OR(N52="TERM",N52="NONE"),"",IF(O52="TERM","",IF(O52="",",",", ")))</f>
        <v>        KC_SCLN, </v>
      </c>
      <c r="O84" s="43" t="str">
        <f aca="false">IF(O52="TERM","",IF(O52="NONE",REPT(" ",17),REPT(" ",15-LEN(O52))&amp;O52))&amp;IF(OR(O52="TERM",O52="NONE"),"",IF(P52="TERM","",IF(P52="",",",", ")))</f>
        <v>        KC_QUOT,</v>
      </c>
    </row>
    <row r="85" customFormat="false" ht="21" hidden="false" customHeight="true" outlineLevel="0" collapsed="false">
      <c r="A85" s="30"/>
      <c r="B85" s="41" t="str">
        <f aca="false">IF(B53="TERM","",IF(B53="NONE",REPT(" ",17),REPT(" ",15-LEN(B53))&amp;B53))&amp;IF(OR(B53="TERM",B53="NONE"),"",IF(C53="TERM","",IF(C53="",",",", ")))</f>
        <v>        KC_LSFT, </v>
      </c>
      <c r="C85" s="41" t="str">
        <f aca="false">IF(C53="TERM","",IF(C53="NONE",REPT(" ",17),REPT(" ",15-LEN(C53))&amp;C53))&amp;IF(OR(C53="TERM",C53="NONE"),"",IF(D53="TERM","",IF(D53="",",",", ")))</f>
        <v>           KC_Z, </v>
      </c>
      <c r="D85" s="41" t="str">
        <f aca="false">IF(D53="TERM","",IF(D53="NONE",REPT(" ",17),REPT(" ",15-LEN(D53))&amp;D53))&amp;IF(OR(D53="TERM",D53="NONE"),"",IF(E53="TERM","",IF(E53="",",",", ")))</f>
        <v>           KC_X, </v>
      </c>
      <c r="E85" s="41" t="str">
        <f aca="false">IF(E53="TERM","",IF(E53="NONE",REPT(" ",17),REPT(" ",15-LEN(E53))&amp;E53))&amp;IF(OR(E53="TERM",E53="NONE"),"",IF(F53="TERM","",IF(F53="",",",", ")))</f>
        <v>           KC_C, </v>
      </c>
      <c r="F85" s="41" t="str">
        <f aca="false">IF(F53="TERM","",IF(F53="NONE",REPT(" ",17),REPT(" ",15-LEN(F53))&amp;F53))&amp;IF(OR(F53="TERM",F53="NONE"),"",IF(G53="TERM","",IF(G53="",",",", ")))</f>
        <v>           KC_V, </v>
      </c>
      <c r="G85" s="41" t="str">
        <f aca="false">IF(G53="TERM","",IF(G53="NONE",REPT(" ",17),REPT(" ",15-LEN(G53))&amp;G53))&amp;IF(OR(G53="TERM",G53="NONE"),"",IF(H53="TERM","",IF(H53="",",",", ")))</f>
        <v>           KC_B, </v>
      </c>
      <c r="H85" s="41" t="str">
        <f aca="false">IF(H53="TERM","",IF(H53="NONE",REPT(" ",17),REPT(" ",15-LEN(H53))&amp;H53))&amp;IF(OR(H53="TERM",H53="NONE"),"",IF(I53="TERM","",IF(I53="",",",", ")))</f>
        <v>        _______, </v>
      </c>
      <c r="I85" s="41" t="str">
        <f aca="false">IF(I53="TERM","",IF(I53="NONE",REPT(" ",17),REPT(" ",15-LEN(I53))&amp;I53))&amp;IF(OR(I53="TERM",I53="NONE"),"",IF(J53="TERM","",IF(J53="",",",", ")))</f>
        <v>        _______, </v>
      </c>
      <c r="J85" s="41" t="str">
        <f aca="false">IF(J53="TERM","",IF(J53="NONE",REPT(" ",17),REPT(" ",15-LEN(J53))&amp;J53))&amp;IF(OR(J53="TERM",J53="NONE"),"",IF(K53="TERM","",IF(K53="",",",", ")))</f>
        <v>           KC_N, </v>
      </c>
      <c r="K85" s="41" t="str">
        <f aca="false">IF(K53="TERM","",IF(K53="NONE",REPT(" ",17),REPT(" ",15-LEN(K53))&amp;K53))&amp;IF(OR(K53="TERM",K53="NONE"),"",IF(L53="TERM","",IF(L53="",",",", ")))</f>
        <v>           KC_M, </v>
      </c>
      <c r="L85" s="41" t="str">
        <f aca="false">IF(L53="TERM","",IF(L53="NONE",REPT(" ",17),REPT(" ",15-LEN(L53))&amp;L53))&amp;IF(OR(L53="TERM",L53="NONE"),"",IF(M53="TERM","",IF(M53="",",",", ")))</f>
        <v>        _______, </v>
      </c>
      <c r="M85" s="41" t="str">
        <f aca="false">IF(M53="TERM","",IF(M53="NONE",REPT(" ",17),REPT(" ",15-LEN(M53))&amp;M53))&amp;IF(OR(M53="TERM",M53="NONE"),"",IF(N53="TERM","",IF(N53="",",",", ")))</f>
        <v>        _______, </v>
      </c>
      <c r="N85" s="41" t="str">
        <f aca="false">IF(N53="TERM","",IF(N53="NONE",REPT(" ",17),REPT(" ",15-LEN(N53))&amp;N53))&amp;IF(OR(N53="TERM",N53="NONE"),"",IF(O53="TERM","",IF(O53="",",",", ")))</f>
        <v>        _______, </v>
      </c>
      <c r="O85" s="43" t="str">
        <f aca="false">IF(O53="TERM","",IF(O53="NONE",REPT(" ",17),REPT(" ",15-LEN(O53))&amp;O53))&amp;IF(OR(O53="TERM",O53="NONE"),"",IF(P53="TERM","",IF(P53="",",",", ")))</f>
        <v>        _______,</v>
      </c>
    </row>
    <row r="86" customFormat="false" ht="21" hidden="false" customHeight="true" outlineLevel="0" collapsed="false">
      <c r="A86" s="34"/>
      <c r="B86" s="44" t="str">
        <f aca="false">IF(B54="TERM","",IF(B54="NONE",REPT(" ",17),REPT(" ",15-LEN(B54))&amp;B54))&amp;IF(OR(B54="TERM",B54="NONE"),"",IF(C54="TERM","",IF(C54="",",",", ")))</f>
        <v>                 </v>
      </c>
      <c r="C86" s="44" t="str">
        <f aca="false">IF(C54="TERM","",IF(C54="NONE",REPT(" ",17),REPT(" ",15-LEN(C54))&amp;C54))&amp;IF(OR(C54="TERM",C54="NONE"),"",IF(D54="TERM","",IF(D54="",",",", ")))</f>
        <v>                 </v>
      </c>
      <c r="D86" s="44" t="str">
        <f aca="false">IF(D54="TERM","",IF(D54="NONE",REPT(" ",17),REPT(" ",15-LEN(D54))&amp;D54))&amp;IF(OR(D54="TERM",D54="NONE"),"",IF(E54="TERM","",IF(E54="",",",", ")))</f>
        <v>                 </v>
      </c>
      <c r="E86" s="45" t="str">
        <f aca="false">IF(E54="TERM","",IF(E54="NONE",REPT(" ",17),REPT(" ",15-LEN(E54))&amp;E54))&amp;IF(OR(E54="TERM",E54="NONE"),"",IF(F54="TERM","",IF(F54="",",",", ")))</f>
        <v>        _______, </v>
      </c>
      <c r="F86" s="45" t="str">
        <f aca="false">IF(F54="TERM","",IF(F54="NONE",REPT(" ",17),REPT(" ",15-LEN(F54))&amp;F54))&amp;IF(OR(F54="TERM",F54="NONE"),"",IF(G54="TERM","",IF(G54="",",",", ")))</f>
        <v>           TG_R, </v>
      </c>
      <c r="G86" s="45" t="str">
        <f aca="false">IF(G54="TERM","",IF(G54="NONE",REPT(" ",17),REPT(" ",15-LEN(G54))&amp;G54))&amp;IF(OR(G54="TERM",G54="NONE"),"",IF(H54="TERM","",IF(H54="",",",", ")))</f>
        <v>         KC_SPC, </v>
      </c>
      <c r="H86" s="45" t="str">
        <f aca="false">IF(H54="TERM","",IF(H54="NONE",REPT(" ",17),REPT(" ",15-LEN(H54))&amp;H54))&amp;IF(OR(H54="TERM",H54="NONE"),"",IF(I54="TERM","",IF(I54="",",",", ")))</f>
        <v>          MO_RA, </v>
      </c>
      <c r="I86" s="45" t="str">
        <f aca="false">IF(I54="TERM","",IF(I54="NONE",REPT(" ",17),REPT(" ",15-LEN(I54))&amp;I54))&amp;IF(OR(I54="TERM",I54="NONE"),"",IF(J54="TERM","",IF(J54="",",",", ")))</f>
        <v>          MO_LA, </v>
      </c>
      <c r="J86" s="45" t="str">
        <f aca="false">IF(J54="TERM","",IF(J54="NONE",REPT(" ",17),REPT(" ",15-LEN(J54))&amp;J54))&amp;IF(OR(J54="TERM",J54="NONE"),"",IF(K54="TERM","",IF(K54="",",",", ")))</f>
        <v>         KC_ENT, </v>
      </c>
      <c r="K86" s="45" t="str">
        <f aca="false">IF(K54="TERM","",IF(K54="NONE",REPT(" ",17),REPT(" ",15-LEN(K54))&amp;K54))&amp;IF(OR(K54="TERM",K54="NONE"),"",IF(L54="TERM","",IF(L54="",",",", ")))</f>
        <v>           TG_L, </v>
      </c>
      <c r="L86" s="45" t="str">
        <f aca="false">IF(L54="TERM","",IF(L54="NONE",REPT(" ",17),REPT(" ",15-LEN(L54))&amp;L54))&amp;IF(OR(L54="TERM",L54="NONE"),"",IF(M54="TERM","",IF(M54="",",",", ")))</f>
        <v>        _______</v>
      </c>
      <c r="M86" s="44" t="str">
        <f aca="false">IF(M54="TERM","",IF(M54="NONE",REPT(" ",17),REPT(" ",15-LEN(M54))&amp;M54))&amp;IF(OR(M54="TERM",M54="NONE"),"",IF(N54="TERM","",IF(N54="",",",", ")))</f>
        <v/>
      </c>
      <c r="N86" s="44" t="str">
        <f aca="false">IF(N54="TERM","",IF(N54="NONE",REPT(" ",17),REPT(" ",15-LEN(N54))&amp;N54))&amp;IF(OR(N54="TERM",N54="NONE"),"",IF(O54="TERM","",IF(O54="",",",", ")))</f>
        <v/>
      </c>
      <c r="O86" s="46" t="str">
        <f aca="false">IF(O54="TERM","",IF(O54="NONE",REPT(" ",17),REPT(" ",15-LEN(O54))&amp;O54))&amp;IF(OR(O54="TERM",O54="NONE"),"",IF(P54="TERM","",IF(P54="",",",", ")))</f>
        <v/>
      </c>
    </row>
    <row r="87" customFormat="false" ht="21" hidden="false" customHeight="true" outlineLevel="0" collapsed="false">
      <c r="A87" s="26" t="s">
        <v>320</v>
      </c>
      <c r="B87" s="38" t="str">
        <f aca="false">IF(B55="TERM","",IF(B55="NONE",REPT(" ",17),REPT(" ",15-LEN(B55))&amp;B55))&amp;IF(OR(B55="TERM",B55="NONE"),"",IF(C55="TERM","",IF(C55="",",",", ")))</f>
        <v>        _______, </v>
      </c>
      <c r="C87" s="38" t="str">
        <f aca="false">IF(C55="TERM","",IF(C55="NONE",REPT(" ",17),REPT(" ",15-LEN(C55))&amp;C55))&amp;IF(OR(C55="TERM",C55="NONE"),"",IF(D55="TERM","",IF(D55="",",",", ")))</f>
        <v>        _______, </v>
      </c>
      <c r="D87" s="38" t="str">
        <f aca="false">IF(D55="TERM","",IF(D55="NONE",REPT(" ",17),REPT(" ",15-LEN(D55))&amp;D55))&amp;IF(OR(D55="TERM",D55="NONE"),"",IF(E55="TERM","",IF(E55="",",",", ")))</f>
        <v>        _______, </v>
      </c>
      <c r="E87" s="38" t="str">
        <f aca="false">IF(E55="TERM","",IF(E55="NONE",REPT(" ",17),REPT(" ",15-LEN(E55))&amp;E55))&amp;IF(OR(E55="TERM",E55="NONE"),"",IF(F55="TERM","",IF(F55="",",",", ")))</f>
        <v>        _______, </v>
      </c>
      <c r="F87" s="38" t="str">
        <f aca="false">IF(F55="TERM","",IF(F55="NONE",REPT(" ",17),REPT(" ",15-LEN(F55))&amp;F55))&amp;IF(OR(F55="TERM",F55="NONE"),"",IF(G55="TERM","",IF(G55="",",",", ")))</f>
        <v>        _______, </v>
      </c>
      <c r="G87" s="38" t="str">
        <f aca="false">IF(G55="TERM","",IF(G55="NONE",REPT(" ",17),REPT(" ",15-LEN(G55))&amp;G55))&amp;IF(OR(G55="TERM",G55="NONE"),"",IF(H55="TERM","",IF(H55="",",",", ")))</f>
        <v>        _______, </v>
      </c>
      <c r="H87" s="39" t="str">
        <f aca="false">IF(H55="TERM","",IF(H55="NONE",REPT(" ",17),REPT(" ",15-LEN(H55))&amp;H55))&amp;IF(OR(H55="TERM",H55="NONE"),"",IF(I55="TERM","",IF(I55="",",",", ")))</f>
        <v>                 </v>
      </c>
      <c r="I87" s="39" t="str">
        <f aca="false">IF(I55="TERM","",IF(I55="NONE",REPT(" ",17),REPT(" ",15-LEN(I55))&amp;I55))&amp;IF(OR(I55="TERM",I55="NONE"),"",IF(J55="TERM","",IF(J55="",",",", ")))</f>
        <v>                 </v>
      </c>
      <c r="J87" s="38" t="str">
        <f aca="false">IF(J55="TERM","",IF(J55="NONE",REPT(" ",17),REPT(" ",15-LEN(J55))&amp;J55))&amp;IF(OR(J55="TERM",J55="NONE"),"",IF(K55="TERM","",IF(K55="",",",", ")))</f>
        <v>        _______, </v>
      </c>
      <c r="K87" s="38" t="str">
        <f aca="false">IF(K55="TERM","",IF(K55="NONE",REPT(" ",17),REPT(" ",15-LEN(K55))&amp;K55))&amp;IF(OR(K55="TERM",K55="NONE"),"",IF(L55="TERM","",IF(L55="",",",", ")))</f>
        <v>        _______, </v>
      </c>
      <c r="L87" s="38" t="str">
        <f aca="false">IF(L55="TERM","",IF(L55="NONE",REPT(" ",17),REPT(" ",15-LEN(L55))&amp;L55))&amp;IF(OR(L55="TERM",L55="NONE"),"",IF(M55="TERM","",IF(M55="",",",", ")))</f>
        <v>        _______, </v>
      </c>
      <c r="M87" s="38" t="str">
        <f aca="false">IF(M55="TERM","",IF(M55="NONE",REPT(" ",17),REPT(" ",15-LEN(M55))&amp;M55))&amp;IF(OR(M55="TERM",M55="NONE"),"",IF(N55="TERM","",IF(N55="",",",", ")))</f>
        <v>        _______, </v>
      </c>
      <c r="N87" s="38" t="str">
        <f aca="false">IF(N55="TERM","",IF(N55="NONE",REPT(" ",17),REPT(" ",15-LEN(N55))&amp;N55))&amp;IF(OR(N55="TERM",N55="NONE"),"",IF(O55="TERM","",IF(O55="",",",", ")))</f>
        <v>        _______, </v>
      </c>
      <c r="O87" s="40" t="str">
        <f aca="false">IF(O55="TERM","",IF(O55="NONE",REPT(" ",17),REPT(" ",15-LEN(O55))&amp;O55))&amp;IF(OR(O55="TERM",O55="NONE"),"",IF(P55="TERM","",IF(P55="",",",", ")))</f>
        <v>        _______,</v>
      </c>
    </row>
    <row r="88" customFormat="false" ht="21" hidden="false" customHeight="true" outlineLevel="0" collapsed="false">
      <c r="A88" s="30"/>
      <c r="B88" s="41" t="str">
        <f aca="false">IF(B56="TERM","",IF(B56="NONE",REPT(" ",17),REPT(" ",15-LEN(B56))&amp;B56))&amp;IF(OR(B56="TERM",B56="NONE"),"",IF(C56="TERM","",IF(C56="",",",", ")))</f>
        <v>        XXXXXXX, </v>
      </c>
      <c r="C88" s="41" t="str">
        <f aca="false">IF(C56="TERM","",IF(C56="NONE",REPT(" ",17),REPT(" ",15-LEN(C56))&amp;C56))&amp;IF(OR(C56="TERM",C56="NONE"),"",IF(D56="TERM","",IF(D56="",",",", ")))</f>
        <v>        S(KC_1), </v>
      </c>
      <c r="D88" s="41" t="str">
        <f aca="false">IF(D56="TERM","",IF(D56="NONE",REPT(" ",17),REPT(" ",15-LEN(D56))&amp;D56))&amp;IF(OR(D56="TERM",D56="NONE"),"",IF(E56="TERM","",IF(E56="",",",", ")))</f>
        <v>        S(KC_2), </v>
      </c>
      <c r="E88" s="41" t="str">
        <f aca="false">IF(E56="TERM","",IF(E56="NONE",REPT(" ",17),REPT(" ",15-LEN(E56))&amp;E56))&amp;IF(OR(E56="TERM",E56="NONE"),"",IF(F56="TERM","",IF(F56="",",",", ")))</f>
        <v>        S(KC_3), </v>
      </c>
      <c r="F88" s="41" t="str">
        <f aca="false">IF(F56="TERM","",IF(F56="NONE",REPT(" ",17),REPT(" ",15-LEN(F56))&amp;F56))&amp;IF(OR(F56="TERM",F56="NONE"),"",IF(G56="TERM","",IF(G56="",",",", ")))</f>
        <v>        S(KC_4), </v>
      </c>
      <c r="G88" s="41" t="str">
        <f aca="false">IF(G56="TERM","",IF(G56="NONE",REPT(" ",17),REPT(" ",15-LEN(G56))&amp;G56))&amp;IF(OR(G56="TERM",G56="NONE"),"",IF(H56="TERM","",IF(H56="",",",", ")))</f>
        <v>        S(KC_5), </v>
      </c>
      <c r="H88" s="42" t="str">
        <f aca="false">IF(H56="TERM","",IF(H56="NONE",REPT(" ",17),REPT(" ",15-LEN(H56))&amp;H56))&amp;IF(OR(H56="TERM",H56="NONE"),"",IF(I56="TERM","",IF(I56="",",",", ")))</f>
        <v>                 </v>
      </c>
      <c r="I88" s="42" t="str">
        <f aca="false">IF(I56="TERM","",IF(I56="NONE",REPT(" ",17),REPT(" ",15-LEN(I56))&amp;I56))&amp;IF(OR(I56="TERM",I56="NONE"),"",IF(J56="TERM","",IF(J56="",",",", ")))</f>
        <v>                 </v>
      </c>
      <c r="J88" s="41" t="str">
        <f aca="false">IF(J56="TERM","",IF(J56="NONE",REPT(" ",17),REPT(" ",15-LEN(J56))&amp;J56))&amp;IF(OR(J56="TERM",J56="NONE"),"",IF(K56="TERM","",IF(K56="",",",", ")))</f>
        <v>        S(KC_6), </v>
      </c>
      <c r="K88" s="41" t="str">
        <f aca="false">IF(K56="TERM","",IF(K56="NONE",REPT(" ",17),REPT(" ",15-LEN(K56))&amp;K56))&amp;IF(OR(K56="TERM",K56="NONE"),"",IF(L56="TERM","",IF(L56="",",",", ")))</f>
        <v>        S(KC_7), </v>
      </c>
      <c r="L88" s="41" t="str">
        <f aca="false">IF(L56="TERM","",IF(L56="NONE",REPT(" ",17),REPT(" ",15-LEN(L56))&amp;L56))&amp;IF(OR(L56="TERM",L56="NONE"),"",IF(M56="TERM","",IF(M56="",",",", ")))</f>
        <v>        S(KC_8), </v>
      </c>
      <c r="M88" s="41" t="str">
        <f aca="false">IF(M56="TERM","",IF(M56="NONE",REPT(" ",17),REPT(" ",15-LEN(M56))&amp;M56))&amp;IF(OR(M56="TERM",M56="NONE"),"",IF(N56="TERM","",IF(N56="",",",", ")))</f>
        <v>        S(KC_9), </v>
      </c>
      <c r="N88" s="41" t="str">
        <f aca="false">IF(N56="TERM","",IF(N56="NONE",REPT(" ",17),REPT(" ",15-LEN(N56))&amp;N56))&amp;IF(OR(N56="TERM",N56="NONE"),"",IF(O56="TERM","",IF(O56="",",",", ")))</f>
        <v>        XXXXXXX, </v>
      </c>
      <c r="O88" s="43" t="str">
        <f aca="false">IF(O56="TERM","",IF(O56="NONE",REPT(" ",17),REPT(" ",15-LEN(O56))&amp;O56))&amp;IF(OR(O56="TERM",O56="NONE"),"",IF(P56="TERM","",IF(P56="",",",", ")))</f>
        <v>        XXXXXXX,</v>
      </c>
    </row>
    <row r="89" customFormat="false" ht="21" hidden="false" customHeight="true" outlineLevel="0" collapsed="false">
      <c r="A89" s="30"/>
      <c r="B89" s="41" t="str">
        <f aca="false">IF(B57="TERM","",IF(B57="NONE",REPT(" ",17),REPT(" ",15-LEN(B57))&amp;B57))&amp;IF(OR(B57="TERM",B57="NONE"),"",IF(C57="TERM","",IF(C57="",",",", ")))</f>
        <v>        XXXXXXX, </v>
      </c>
      <c r="C89" s="41" t="str">
        <f aca="false">IF(C57="TERM","",IF(C57="NONE",REPT(" ",17),REPT(" ",15-LEN(C57))&amp;C57))&amp;IF(OR(C57="TERM",C57="NONE"),"",IF(D57="TERM","",IF(D57="",",",", ")))</f>
        <v>        XXXXXXX, </v>
      </c>
      <c r="D89" s="41" t="str">
        <f aca="false">IF(D57="TERM","",IF(D57="NONE",REPT(" ",17),REPT(" ",15-LEN(D57))&amp;D57))&amp;IF(OR(D57="TERM",D57="NONE"),"",IF(E57="TERM","",IF(E57="",",",", ")))</f>
        <v>        KC_HOME, </v>
      </c>
      <c r="E89" s="41" t="str">
        <f aca="false">IF(E57="TERM","",IF(E57="NONE",REPT(" ",17),REPT(" ",15-LEN(E57))&amp;E57))&amp;IF(OR(E57="TERM",E57="NONE"),"",IF(F57="TERM","",IF(F57="",",",", ")))</f>
        <v>        KC_PGUP, </v>
      </c>
      <c r="F89" s="41" t="str">
        <f aca="false">IF(F57="TERM","",IF(F57="NONE",REPT(" ",17),REPT(" ",15-LEN(F57))&amp;F57))&amp;IF(OR(F57="TERM",F57="NONE"),"",IF(G57="TERM","",IF(G57="",",",", ")))</f>
        <v>        KC_PGDN, </v>
      </c>
      <c r="G89" s="41" t="str">
        <f aca="false">IF(G57="TERM","",IF(G57="NONE",REPT(" ",17),REPT(" ",15-LEN(G57))&amp;G57))&amp;IF(OR(G57="TERM",G57="NONE"),"",IF(H57="TERM","",IF(H57="",",",", ")))</f>
        <v>         KC_END, </v>
      </c>
      <c r="H89" s="42" t="str">
        <f aca="false">IF(H57="TERM","",IF(H57="NONE",REPT(" ",17),REPT(" ",15-LEN(H57))&amp;H57))&amp;IF(OR(H57="TERM",H57="NONE"),"",IF(I57="TERM","",IF(I57="",",",", ")))</f>
        <v>                 </v>
      </c>
      <c r="I89" s="42" t="str">
        <f aca="false">IF(I57="TERM","",IF(I57="NONE",REPT(" ",17),REPT(" ",15-LEN(I57))&amp;I57))&amp;IF(OR(I57="TERM",I57="NONE"),"",IF(J57="TERM","",IF(J57="",",",", ")))</f>
        <v>                 </v>
      </c>
      <c r="J89" s="41" t="str">
        <f aca="false">IF(J57="TERM","",IF(J57="NONE",REPT(" ",17),REPT(" ",15-LEN(J57))&amp;J57))&amp;IF(OR(J57="TERM",J57="NONE"),"",IF(K57="TERM","",IF(K57="",",",", ")))</f>
        <v>        KC_LEFT, </v>
      </c>
      <c r="K89" s="41" t="str">
        <f aca="false">IF(K57="TERM","",IF(K57="NONE",REPT(" ",17),REPT(" ",15-LEN(K57))&amp;K57))&amp;IF(OR(K57="TERM",K57="NONE"),"",IF(L57="TERM","",IF(L57="",",",", ")))</f>
        <v>        KC_DOWN, </v>
      </c>
      <c r="L89" s="41" t="str">
        <f aca="false">IF(L57="TERM","",IF(L57="NONE",REPT(" ",17),REPT(" ",15-LEN(L57))&amp;L57))&amp;IF(OR(L57="TERM",L57="NONE"),"",IF(M57="TERM","",IF(M57="",",",", ")))</f>
        <v>          KC_UP, </v>
      </c>
      <c r="M89" s="41" t="str">
        <f aca="false">IF(M57="TERM","",IF(M57="NONE",REPT(" ",17),REPT(" ",15-LEN(M57))&amp;M57))&amp;IF(OR(M57="TERM",M57="NONE"),"",IF(N57="TERM","",IF(N57="",",",", ")))</f>
        <v>        KC_RGHT, </v>
      </c>
      <c r="N89" s="41" t="str">
        <f aca="false">IF(N57="TERM","",IF(N57="NONE",REPT(" ",17),REPT(" ",15-LEN(N57))&amp;N57))&amp;IF(OR(N57="TERM",N57="NONE"),"",IF(O57="TERM","",IF(O57="",",",", ")))</f>
        <v>         KC_EQL, </v>
      </c>
      <c r="O89" s="43" t="str">
        <f aca="false">IF(O57="TERM","",IF(O57="NONE",REPT(" ",17),REPT(" ",15-LEN(O57))&amp;O57))&amp;IF(OR(O57="TERM",O57="NONE"),"",IF(P57="TERM","",IF(P57="",",",", ")))</f>
        <v>        KC_MINS,</v>
      </c>
    </row>
    <row r="90" customFormat="false" ht="21" hidden="false" customHeight="true" outlineLevel="0" collapsed="false">
      <c r="A90" s="30"/>
      <c r="B90" s="41" t="str">
        <f aca="false">IF(B58="TERM","",IF(B58="NONE",REPT(" ",17),REPT(" ",15-LEN(B58))&amp;B58))&amp;IF(OR(B58="TERM",B58="NONE"),"",IF(C58="TERM","",IF(C58="",",",", ")))</f>
        <v>        KC_LCTL, </v>
      </c>
      <c r="C90" s="41" t="str">
        <f aca="false">IF(C58="TERM","",IF(C58="NONE",REPT(" ",17),REPT(" ",15-LEN(C58))&amp;C58))&amp;IF(OR(C58="TERM",C58="NONE"),"",IF(D58="TERM","",IF(D58="",",",", ")))</f>
        <v>        KC_LALT, </v>
      </c>
      <c r="D90" s="41" t="str">
        <f aca="false">IF(D58="TERM","",IF(D58="NONE",REPT(" ",17),REPT(" ",15-LEN(D58))&amp;D58))&amp;IF(OR(D58="TERM",D58="NONE"),"",IF(E58="TERM","",IF(E58="",",",", ")))</f>
        <v>        XXXXXXX, </v>
      </c>
      <c r="E90" s="41" t="str">
        <f aca="false">IF(E58="TERM","",IF(E58="NONE",REPT(" ",17),REPT(" ",15-LEN(E58))&amp;E58))&amp;IF(OR(E58="TERM",E58="NONE"),"",IF(F58="TERM","",IF(F58="",",",", ")))</f>
        <v>        XXXXXXX, </v>
      </c>
      <c r="F90" s="41" t="str">
        <f aca="false">IF(F58="TERM","",IF(F58="NONE",REPT(" ",17),REPT(" ",15-LEN(F58))&amp;F58))&amp;IF(OR(F58="TERM",F58="NONE"),"",IF(G58="TERM","",IF(G58="",",",", ")))</f>
        <v>        KC_INT5, </v>
      </c>
      <c r="G90" s="41" t="str">
        <f aca="false">IF(G58="TERM","",IF(G58="NONE",REPT(" ",17),REPT(" ",15-LEN(G58))&amp;G58))&amp;IF(OR(G58="TERM",G58="NONE"),"",IF(H58="TERM","",IF(H58="",",",", ")))</f>
        <v>        KC_BSPC, </v>
      </c>
      <c r="H90" s="41" t="str">
        <f aca="false">IF(H58="TERM","",IF(H58="NONE",REPT(" ",17),REPT(" ",15-LEN(H58))&amp;H58))&amp;IF(OR(H58="TERM",H58="NONE"),"",IF(I58="TERM","",IF(I58="",",",", ")))</f>
        <v>        _______, </v>
      </c>
      <c r="I90" s="41" t="str">
        <f aca="false">IF(I58="TERM","",IF(I58="NONE",REPT(" ",17),REPT(" ",15-LEN(I58))&amp;I58))&amp;IF(OR(I58="TERM",I58="NONE"),"",IF(J58="TERM","",IF(J58="",",",", ")))</f>
        <v>        _______, </v>
      </c>
      <c r="J90" s="41" t="str">
        <f aca="false">IF(J58="TERM","",IF(J58="NONE",REPT(" ",17),REPT(" ",15-LEN(J58))&amp;J58))&amp;IF(OR(J58="TERM",J58="NONE"),"",IF(K58="TERM","",IF(K58="",",",", ")))</f>
        <v>         KC_DEL, </v>
      </c>
      <c r="K90" s="41" t="str">
        <f aca="false">IF(K58="TERM","",IF(K58="NONE",REPT(" ",17),REPT(" ",15-LEN(K58))&amp;K58))&amp;IF(OR(K58="TERM",K58="NONE"),"",IF(L58="TERM","",IF(L58="",",",", ")))</f>
        <v>        KC_INT4, </v>
      </c>
      <c r="L90" s="41" t="str">
        <f aca="false">IF(L58="TERM","",IF(L58="NONE",REPT(" ",17),REPT(" ",15-LEN(L58))&amp;L58))&amp;IF(OR(L58="TERM",L58="NONE"),"",IF(M58="TERM","",IF(M58="",",",", ")))</f>
        <v>        KC_RBRC, </v>
      </c>
      <c r="M90" s="41" t="str">
        <f aca="false">IF(M58="TERM","",IF(M58="NONE",REPT(" ",17),REPT(" ",15-LEN(M58))&amp;M58))&amp;IF(OR(M58="TERM",M58="NONE"),"",IF(N58="TERM","",IF(N58="",",",", ")))</f>
        <v>        KC_BSLS, </v>
      </c>
      <c r="N90" s="41" t="str">
        <f aca="false">IF(N58="TERM","",IF(N58="NONE",REPT(" ",17),REPT(" ",15-LEN(N58))&amp;N58))&amp;IF(OR(N58="TERM",N58="NONE"),"",IF(O58="TERM","",IF(O58="",",",", ")))</f>
        <v>      S(KC_EQL), </v>
      </c>
      <c r="O90" s="43" t="str">
        <f aca="false">IF(O58="TERM","",IF(O58="NONE",REPT(" ",17),REPT(" ",15-LEN(O58))&amp;O58))&amp;IF(OR(O58="TERM",O58="NONE"),"",IF(P58="TERM","",IF(P58="",",",", ")))</f>
        <v>     S(KC_INT3),</v>
      </c>
    </row>
    <row r="91" customFormat="false" ht="21" hidden="false" customHeight="true" outlineLevel="0" collapsed="false">
      <c r="A91" s="34"/>
      <c r="B91" s="44" t="str">
        <f aca="false">IF(B59="TERM","",IF(B59="NONE",REPT(" ",17),REPT(" ",15-LEN(B59))&amp;B59))&amp;IF(OR(B59="TERM",B59="NONE"),"",IF(C59="TERM","",IF(C59="",",",", ")))</f>
        <v>                 </v>
      </c>
      <c r="C91" s="44" t="str">
        <f aca="false">IF(C59="TERM","",IF(C59="NONE",REPT(" ",17),REPT(" ",15-LEN(C59))&amp;C59))&amp;IF(OR(C59="TERM",C59="NONE"),"",IF(D59="TERM","",IF(D59="",",",", ")))</f>
        <v>                 </v>
      </c>
      <c r="D91" s="44" t="str">
        <f aca="false">IF(D59="TERM","",IF(D59="NONE",REPT(" ",17),REPT(" ",15-LEN(D59))&amp;D59))&amp;IF(OR(D59="TERM",D59="NONE"),"",IF(E59="TERM","",IF(E59="",",",", ")))</f>
        <v>                 </v>
      </c>
      <c r="E91" s="45" t="str">
        <f aca="false">IF(E59="TERM","",IF(E59="NONE",REPT(" ",17),REPT(" ",15-LEN(E59))&amp;E59))&amp;IF(OR(E59="TERM",E59="NONE"),"",IF(F59="TERM","",IF(F59="",",",", ")))</f>
        <v>        _______, </v>
      </c>
      <c r="F91" s="45" t="str">
        <f aca="false">IF(F59="TERM","",IF(F59="NONE",REPT(" ",17),REPT(" ",15-LEN(F59))&amp;F59))&amp;IF(OR(F59="TERM",F59="NONE"),"",IF(G59="TERM","",IF(G59="",",",", ")))</f>
        <v>        _______, </v>
      </c>
      <c r="G91" s="45" t="str">
        <f aca="false">IF(G59="TERM","",IF(G59="NONE",REPT(" ",17),REPT(" ",15-LEN(G59))&amp;G59))&amp;IF(OR(G59="TERM",G59="NONE"),"",IF(H59="TERM","",IF(H59="",",",", ")))</f>
        <v>        _______, </v>
      </c>
      <c r="H91" s="45" t="str">
        <f aca="false">IF(H59="TERM","",IF(H59="NONE",REPT(" ",17),REPT(" ",15-LEN(H59))&amp;H59))&amp;IF(OR(H59="TERM",H59="NONE"),"",IF(I59="TERM","",IF(I59="",",",", ")))</f>
        <v>        _______, </v>
      </c>
      <c r="I91" s="45" t="str">
        <f aca="false">IF(I59="TERM","",IF(I59="NONE",REPT(" ",17),REPT(" ",15-LEN(I59))&amp;I59))&amp;IF(OR(I59="TERM",I59="NONE"),"",IF(J59="TERM","",IF(J59="",",",", ")))</f>
        <v>        _______, </v>
      </c>
      <c r="J91" s="45" t="str">
        <f aca="false">IF(J59="TERM","",IF(J59="NONE",REPT(" ",17),REPT(" ",15-LEN(J59))&amp;J59))&amp;IF(OR(J59="TERM",J59="NONE"),"",IF(K59="TERM","",IF(K59="",",",", ")))</f>
        <v>        _______, </v>
      </c>
      <c r="K91" s="45" t="str">
        <f aca="false">IF(K59="TERM","",IF(K59="NONE",REPT(" ",17),REPT(" ",15-LEN(K59))&amp;K59))&amp;IF(OR(K59="TERM",K59="NONE"),"",IF(L59="TERM","",IF(L59="",",",", ")))</f>
        <v>        _______, </v>
      </c>
      <c r="L91" s="45" t="str">
        <f aca="false">IF(L59="TERM","",IF(L59="NONE",REPT(" ",17),REPT(" ",15-LEN(L59))&amp;L59))&amp;IF(OR(L59="TERM",L59="NONE"),"",IF(M59="TERM","",IF(M59="",",",", ")))</f>
        <v>        _______</v>
      </c>
      <c r="M91" s="44" t="str">
        <f aca="false">IF(M59="TERM","",IF(M59="NONE",REPT(" ",17),REPT(" ",15-LEN(M59))&amp;M59))&amp;IF(OR(M59="TERM",M59="NONE"),"",IF(N59="TERM","",IF(N59="",",",", ")))</f>
        <v/>
      </c>
      <c r="N91" s="44" t="str">
        <f aca="false">IF(N59="TERM","",IF(N59="NONE",REPT(" ",17),REPT(" ",15-LEN(N59))&amp;N59))&amp;IF(OR(N59="TERM",N59="NONE"),"",IF(O59="TERM","",IF(O59="",",",", ")))</f>
        <v/>
      </c>
      <c r="O91" s="46" t="str">
        <f aca="false">IF(O59="TERM","",IF(O59="NONE",REPT(" ",17),REPT(" ",15-LEN(O59))&amp;O59))&amp;IF(OR(O59="TERM",O59="NONE"),"",IF(P59="TERM","",IF(P59="",",",", ")))</f>
        <v/>
      </c>
    </row>
    <row r="92" customFormat="false" ht="21" hidden="false" customHeight="true" outlineLevel="0" collapsed="false">
      <c r="A92" s="26" t="s">
        <v>321</v>
      </c>
      <c r="B92" s="38" t="str">
        <f aca="false">IF(B60="TERM","",IF(B60="NONE",REPT(" ",17),REPT(" ",15-LEN(B60))&amp;B60))&amp;IF(OR(B60="TERM",B60="NONE"),"",IF(C60="TERM","",IF(C60="",",",", ")))</f>
        <v>          KC_F1, </v>
      </c>
      <c r="C92" s="38" t="str">
        <f aca="false">IF(C60="TERM","",IF(C60="NONE",REPT(" ",17),REPT(" ",15-LEN(C60))&amp;C60))&amp;IF(OR(C60="TERM",C60="NONE"),"",IF(D60="TERM","",IF(D60="",",",", ")))</f>
        <v>          KC_F2, </v>
      </c>
      <c r="D92" s="38" t="str">
        <f aca="false">IF(D60="TERM","",IF(D60="NONE",REPT(" ",17),REPT(" ",15-LEN(D60))&amp;D60))&amp;IF(OR(D60="TERM",D60="NONE"),"",IF(E60="TERM","",IF(E60="",",",", ")))</f>
        <v>          KC_F3, </v>
      </c>
      <c r="E92" s="38" t="str">
        <f aca="false">IF(E60="TERM","",IF(E60="NONE",REPT(" ",17),REPT(" ",15-LEN(E60))&amp;E60))&amp;IF(OR(E60="TERM",E60="NONE"),"",IF(F60="TERM","",IF(F60="",",",", ")))</f>
        <v>          KC_F4, </v>
      </c>
      <c r="F92" s="38" t="str">
        <f aca="false">IF(F60="TERM","",IF(F60="NONE",REPT(" ",17),REPT(" ",15-LEN(F60))&amp;F60))&amp;IF(OR(F60="TERM",F60="NONE"),"",IF(G60="TERM","",IF(G60="",",",", ")))</f>
        <v>          KC_F5, </v>
      </c>
      <c r="G92" s="38" t="str">
        <f aca="false">IF(G60="TERM","",IF(G60="NONE",REPT(" ",17),REPT(" ",15-LEN(G60))&amp;G60))&amp;IF(OR(G60="TERM",G60="NONE"),"",IF(H60="TERM","",IF(H60="",",",", ")))</f>
        <v>          KC_F6, </v>
      </c>
      <c r="H92" s="39" t="str">
        <f aca="false">IF(H60="TERM","",IF(H60="NONE",REPT(" ",17),REPT(" ",15-LEN(H60))&amp;H60))&amp;IF(OR(H60="TERM",H60="NONE"),"",IF(I60="TERM","",IF(I60="",",",", ")))</f>
        <v>                 </v>
      </c>
      <c r="I92" s="39" t="str">
        <f aca="false">IF(I60="TERM","",IF(I60="NONE",REPT(" ",17),REPT(" ",15-LEN(I60))&amp;I60))&amp;IF(OR(I60="TERM",I60="NONE"),"",IF(J60="TERM","",IF(J60="",",",", ")))</f>
        <v>                 </v>
      </c>
      <c r="J92" s="38" t="str">
        <f aca="false">IF(J60="TERM","",IF(J60="NONE",REPT(" ",17),REPT(" ",15-LEN(J60))&amp;J60))&amp;IF(OR(J60="TERM",J60="NONE"),"",IF(K60="TERM","",IF(K60="",",",", ")))</f>
        <v>          KC_F7, </v>
      </c>
      <c r="K92" s="38" t="str">
        <f aca="false">IF(K60="TERM","",IF(K60="NONE",REPT(" ",17),REPT(" ",15-LEN(K60))&amp;K60))&amp;IF(OR(K60="TERM",K60="NONE"),"",IF(L60="TERM","",IF(L60="",",",", ")))</f>
        <v>          KC_F8, </v>
      </c>
      <c r="L92" s="38" t="str">
        <f aca="false">IF(L60="TERM","",IF(L60="NONE",REPT(" ",17),REPT(" ",15-LEN(L60))&amp;L60))&amp;IF(OR(L60="TERM",L60="NONE"),"",IF(M60="TERM","",IF(M60="",",",", ")))</f>
        <v>          KC_F9, </v>
      </c>
      <c r="M92" s="38" t="str">
        <f aca="false">IF(M60="TERM","",IF(M60="NONE",REPT(" ",17),REPT(" ",15-LEN(M60))&amp;M60))&amp;IF(OR(M60="TERM",M60="NONE"),"",IF(N60="TERM","",IF(N60="",",",", ")))</f>
        <v>         KC_F10, </v>
      </c>
      <c r="N92" s="38" t="str">
        <f aca="false">IF(N60="TERM","",IF(N60="NONE",REPT(" ",17),REPT(" ",15-LEN(N60))&amp;N60))&amp;IF(OR(N60="TERM",N60="NONE"),"",IF(O60="TERM","",IF(O60="",",",", ")))</f>
        <v>         KC_F11, </v>
      </c>
      <c r="O92" s="40" t="str">
        <f aca="false">IF(O60="TERM","",IF(O60="NONE",REPT(" ",17),REPT(" ",15-LEN(O60))&amp;O60))&amp;IF(OR(O60="TERM",O60="NONE"),"",IF(P60="TERM","",IF(P60="",",",", ")))</f>
        <v>         KC_F12,</v>
      </c>
    </row>
    <row r="93" customFormat="false" ht="21" hidden="false" customHeight="true" outlineLevel="0" collapsed="false">
      <c r="A93" s="30"/>
      <c r="B93" s="41" t="str">
        <f aca="false">IF(B61="TERM","",IF(B61="NONE",REPT(" ",17),REPT(" ",15-LEN(B61))&amp;B61))&amp;IF(OR(B61="TERM",B61="NONE"),"",IF(C61="TERM","",IF(C61="",",",", ")))</f>
        <v>        XXXXXXX, </v>
      </c>
      <c r="C93" s="41" t="str">
        <f aca="false">IF(C61="TERM","",IF(C61="NONE",REPT(" ",17),REPT(" ",15-LEN(C61))&amp;C61))&amp;IF(OR(C61="TERM",C61="NONE"),"",IF(D61="TERM","",IF(D61="",",",", ")))</f>
        <v>        XXXXXXX, </v>
      </c>
      <c r="D93" s="41" t="str">
        <f aca="false">IF(D61="TERM","",IF(D61="NONE",REPT(" ",17),REPT(" ",15-LEN(D61))&amp;D61))&amp;IF(OR(D61="TERM",D61="NONE"),"",IF(E61="TERM","",IF(E61="",",",", ")))</f>
        <v>        XXXXXXX, </v>
      </c>
      <c r="E93" s="41" t="str">
        <f aca="false">IF(E61="TERM","",IF(E61="NONE",REPT(" ",17),REPT(" ",15-LEN(E61))&amp;E61))&amp;IF(OR(E61="TERM",E61="NONE"),"",IF(F61="TERM","",IF(F61="",",",", ")))</f>
        <v>        XXXXXXX, </v>
      </c>
      <c r="F93" s="41" t="str">
        <f aca="false">IF(F61="TERM","",IF(F61="NONE",REPT(" ",17),REPT(" ",15-LEN(F61))&amp;F61))&amp;IF(OR(F61="TERM",F61="NONE"),"",IF(G61="TERM","",IF(G61="",",",", ")))</f>
        <v>        XXXXXXX, </v>
      </c>
      <c r="G93" s="41" t="str">
        <f aca="false">IF(G61="TERM","",IF(G61="NONE",REPT(" ",17),REPT(" ",15-LEN(G61))&amp;G61))&amp;IF(OR(G61="TERM",G61="NONE"),"",IF(H61="TERM","",IF(H61="",",",", ")))</f>
        <v>        XXXXXXX, </v>
      </c>
      <c r="H93" s="42" t="str">
        <f aca="false">IF(H61="TERM","",IF(H61="NONE",REPT(" ",17),REPT(" ",15-LEN(H61))&amp;H61))&amp;IF(OR(H61="TERM",H61="NONE"),"",IF(I61="TERM","",IF(I61="",",",", ")))</f>
        <v>                 </v>
      </c>
      <c r="I93" s="42" t="str">
        <f aca="false">IF(I61="TERM","",IF(I61="NONE",REPT(" ",17),REPT(" ",15-LEN(I61))&amp;I61))&amp;IF(OR(I61="TERM",I61="NONE"),"",IF(J61="TERM","",IF(J61="",",",", ")))</f>
        <v>                 </v>
      </c>
      <c r="J93" s="41" t="str">
        <f aca="false">IF(J61="TERM","",IF(J61="NONE",REPT(" ",17),REPT(" ",15-LEN(J61))&amp;J61))&amp;IF(OR(J61="TERM",J61="NONE"),"",IF(K61="TERM","",IF(K61="",",",", ")))</f>
        <v>        XXXXXXX, </v>
      </c>
      <c r="K93" s="41" t="str">
        <f aca="false">IF(K61="TERM","",IF(K61="NONE",REPT(" ",17),REPT(" ",15-LEN(K61))&amp;K61))&amp;IF(OR(K61="TERM",K61="NONE"),"",IF(L61="TERM","",IF(L61="",",",", ")))</f>
        <v>        XXXXXXX, </v>
      </c>
      <c r="L93" s="41" t="str">
        <f aca="false">IF(L61="TERM","",IF(L61="NONE",REPT(" ",17),REPT(" ",15-LEN(L61))&amp;L61))&amp;IF(OR(L61="TERM",L61="NONE"),"",IF(M61="TERM","",IF(M61="",",",", ")))</f>
        <v>        XXXXXXX, </v>
      </c>
      <c r="M93" s="41" t="str">
        <f aca="false">IF(M61="TERM","",IF(M61="NONE",REPT(" ",17),REPT(" ",15-LEN(M61))&amp;M61))&amp;IF(OR(M61="TERM",M61="NONE"),"",IF(N61="TERM","",IF(N61="",",",", ")))</f>
        <v>        XXXXXXX, </v>
      </c>
      <c r="N93" s="41" t="str">
        <f aca="false">IF(N61="TERM","",IF(N61="NONE",REPT(" ",17),REPT(" ",15-LEN(N61))&amp;N61))&amp;IF(OR(N61="TERM",N61="NONE"),"",IF(O61="TERM","",IF(O61="",",",", ")))</f>
        <v>        XXXXXXX, </v>
      </c>
      <c r="O93" s="43" t="str">
        <f aca="false">IF(O61="TERM","",IF(O61="NONE",REPT(" ",17),REPT(" ",15-LEN(O61))&amp;O61))&amp;IF(OR(O61="TERM",O61="NONE"),"",IF(P61="TERM","",IF(P61="",",",", ")))</f>
        <v>        XXXXXXX,</v>
      </c>
    </row>
    <row r="94" customFormat="false" ht="21" hidden="false" customHeight="true" outlineLevel="0" collapsed="false">
      <c r="A94" s="30"/>
      <c r="B94" s="41" t="str">
        <f aca="false">IF(B62="TERM","",IF(B62="NONE",REPT(" ",17),REPT(" ",15-LEN(B62))&amp;B62))&amp;IF(OR(B62="TERM",B62="NONE"),"",IF(C62="TERM","",IF(C62="",",",", ")))</f>
        <v>        XXXXXXX, </v>
      </c>
      <c r="C94" s="41" t="str">
        <f aca="false">IF(C62="TERM","",IF(C62="NONE",REPT(" ",17),REPT(" ",15-LEN(C62))&amp;C62))&amp;IF(OR(C62="TERM",C62="NONE"),"",IF(D62="TERM","",IF(D62="",",",", ")))</f>
        <v>           KC_1, </v>
      </c>
      <c r="D94" s="41" t="str">
        <f aca="false">IF(D62="TERM","",IF(D62="NONE",REPT(" ",17),REPT(" ",15-LEN(D62))&amp;D62))&amp;IF(OR(D62="TERM",D62="NONE"),"",IF(E62="TERM","",IF(E62="",",",", ")))</f>
        <v>           KC_2, </v>
      </c>
      <c r="E94" s="41" t="str">
        <f aca="false">IF(E62="TERM","",IF(E62="NONE",REPT(" ",17),REPT(" ",15-LEN(E62))&amp;E62))&amp;IF(OR(E62="TERM",E62="NONE"),"",IF(F62="TERM","",IF(F62="",",",", ")))</f>
        <v>           KC_3, </v>
      </c>
      <c r="F94" s="41" t="str">
        <f aca="false">IF(F62="TERM","",IF(F62="NONE",REPT(" ",17),REPT(" ",15-LEN(F62))&amp;F62))&amp;IF(OR(F62="TERM",F62="NONE"),"",IF(G62="TERM","",IF(G62="",",",", ")))</f>
        <v>           KC_4, </v>
      </c>
      <c r="G94" s="41" t="str">
        <f aca="false">IF(G62="TERM","",IF(G62="NONE",REPT(" ",17),REPT(" ",15-LEN(G62))&amp;G62))&amp;IF(OR(G62="TERM",G62="NONE"),"",IF(H62="TERM","",IF(H62="",",",", ")))</f>
        <v>           KC_5, </v>
      </c>
      <c r="H94" s="42" t="str">
        <f aca="false">IF(H62="TERM","",IF(H62="NONE",REPT(" ",17),REPT(" ",15-LEN(H62))&amp;H62))&amp;IF(OR(H62="TERM",H62="NONE"),"",IF(I62="TERM","",IF(I62="",",",", ")))</f>
        <v>                 </v>
      </c>
      <c r="I94" s="42" t="str">
        <f aca="false">IF(I62="TERM","",IF(I62="NONE",REPT(" ",17),REPT(" ",15-LEN(I62))&amp;I62))&amp;IF(OR(I62="TERM",I62="NONE"),"",IF(J62="TERM","",IF(J62="",",",", ")))</f>
        <v>                 </v>
      </c>
      <c r="J94" s="41" t="str">
        <f aca="false">IF(J62="TERM","",IF(J62="NONE",REPT(" ",17),REPT(" ",15-LEN(J62))&amp;J62))&amp;IF(OR(J62="TERM",J62="NONE"),"",IF(K62="TERM","",IF(K62="",",",", ")))</f>
        <v>           KC_6, </v>
      </c>
      <c r="K94" s="41" t="str">
        <f aca="false">IF(K62="TERM","",IF(K62="NONE",REPT(" ",17),REPT(" ",15-LEN(K62))&amp;K62))&amp;IF(OR(K62="TERM",K62="NONE"),"",IF(L62="TERM","",IF(L62="",",",", ")))</f>
        <v>           KC_7, </v>
      </c>
      <c r="L94" s="41" t="str">
        <f aca="false">IF(L62="TERM","",IF(L62="NONE",REPT(" ",17),REPT(" ",15-LEN(L62))&amp;L62))&amp;IF(OR(L62="TERM",L62="NONE"),"",IF(M62="TERM","",IF(M62="",",",", ")))</f>
        <v>           KC_8, </v>
      </c>
      <c r="M94" s="41" t="str">
        <f aca="false">IF(M62="TERM","",IF(M62="NONE",REPT(" ",17),REPT(" ",15-LEN(M62))&amp;M62))&amp;IF(OR(M62="TERM",M62="NONE"),"",IF(N62="TERM","",IF(N62="",",",", ")))</f>
        <v>           KC_9, </v>
      </c>
      <c r="N94" s="41" t="str">
        <f aca="false">IF(N62="TERM","",IF(N62="NONE",REPT(" ",17),REPT(" ",15-LEN(N62))&amp;N62))&amp;IF(OR(N62="TERM",N62="NONE"),"",IF(O62="TERM","",IF(O62="",",",", ")))</f>
        <v>           KC_0, </v>
      </c>
      <c r="O94" s="43" t="str">
        <f aca="false">IF(O62="TERM","",IF(O62="NONE",REPT(" ",17),REPT(" ",15-LEN(O62))&amp;O62))&amp;IF(OR(O62="TERM",O62="NONE"),"",IF(P62="TERM","",IF(P62="",",",", ")))</f>
        <v>        _______,</v>
      </c>
    </row>
    <row r="95" customFormat="false" ht="21" hidden="false" customHeight="true" outlineLevel="0" collapsed="false">
      <c r="A95" s="30"/>
      <c r="B95" s="41" t="str">
        <f aca="false">IF(B63="TERM","",IF(B63="NONE",REPT(" ",17),REPT(" ",15-LEN(B63))&amp;B63))&amp;IF(OR(B63="TERM",B63="NONE"),"",IF(C63="TERM","",IF(C63="",",",", ")))</f>
        <v>        _______, </v>
      </c>
      <c r="C95" s="41" t="str">
        <f aca="false">IF(C63="TERM","",IF(C63="NONE",REPT(" ",17),REPT(" ",15-LEN(C63))&amp;C63))&amp;IF(OR(C63="TERM",C63="NONE"),"",IF(D63="TERM","",IF(D63="",",",", ")))</f>
        <v>        _______, </v>
      </c>
      <c r="D95" s="41" t="str">
        <f aca="false">IF(D63="TERM","",IF(D63="NONE",REPT(" ",17),REPT(" ",15-LEN(D63))&amp;D63))&amp;IF(OR(D63="TERM",D63="NONE"),"",IF(E63="TERM","",IF(E63="",",",", ")))</f>
        <v>        KC_VOLD, </v>
      </c>
      <c r="E95" s="41" t="str">
        <f aca="false">IF(E63="TERM","",IF(E63="NONE",REPT(" ",17),REPT(" ",15-LEN(E63))&amp;E63))&amp;IF(OR(E63="TERM",E63="NONE"),"",IF(F63="TERM","",IF(F63="",",",", ")))</f>
        <v>        KC_VOLU, </v>
      </c>
      <c r="F95" s="41" t="str">
        <f aca="false">IF(F63="TERM","",IF(F63="NONE",REPT(" ",17),REPT(" ",15-LEN(F63))&amp;F63))&amp;IF(OR(F63="TERM",F63="NONE"),"",IF(G63="TERM","",IF(G63="",",",", ")))</f>
        <v>        _______, </v>
      </c>
      <c r="G95" s="41" t="str">
        <f aca="false">IF(G63="TERM","",IF(G63="NONE",REPT(" ",17),REPT(" ",15-LEN(G63))&amp;G63))&amp;IF(OR(G63="TERM",G63="NONE"),"",IF(H63="TERM","",IF(H63="",",",", ")))</f>
        <v>        _______, </v>
      </c>
      <c r="H95" s="41" t="str">
        <f aca="false">IF(H63="TERM","",IF(H63="NONE",REPT(" ",17),REPT(" ",15-LEN(H63))&amp;H63))&amp;IF(OR(H63="TERM",H63="NONE"),"",IF(I63="TERM","",IF(I63="",",",", ")))</f>
        <v>        _______, </v>
      </c>
      <c r="I95" s="41" t="str">
        <f aca="false">IF(I63="TERM","",IF(I63="NONE",REPT(" ",17),REPT(" ",15-LEN(I63))&amp;I63))&amp;IF(OR(I63="TERM",I63="NONE"),"",IF(J63="TERM","",IF(J63="",",",", ")))</f>
        <v>        _______, </v>
      </c>
      <c r="J95" s="41" t="str">
        <f aca="false">IF(J63="TERM","",IF(J63="NONE",REPT(" ",17),REPT(" ",15-LEN(J63))&amp;J63))&amp;IF(OR(J63="TERM",J63="NONE"),"",IF(K63="TERM","",IF(K63="",",",", ")))</f>
        <v>        _______, </v>
      </c>
      <c r="K95" s="41" t="str">
        <f aca="false">IF(K63="TERM","",IF(K63="NONE",REPT(" ",17),REPT(" ",15-LEN(K63))&amp;K63))&amp;IF(OR(K63="TERM",K63="NONE"),"",IF(L63="TERM","",IF(L63="",",",", ")))</f>
        <v>        _______, </v>
      </c>
      <c r="L95" s="41" t="str">
        <f aca="false">IF(L63="TERM","",IF(L63="NONE",REPT(" ",17),REPT(" ",15-LEN(L63))&amp;L63))&amp;IF(OR(L63="TERM",L63="NONE"),"",IF(M63="TERM","",IF(M63="",",",", ")))</f>
        <v>        KC_COMM, </v>
      </c>
      <c r="M95" s="41" t="str">
        <f aca="false">IF(M63="TERM","",IF(M63="NONE",REPT(" ",17),REPT(" ",15-LEN(M63))&amp;M63))&amp;IF(OR(M63="TERM",M63="NONE"),"",IF(N63="TERM","",IF(N63="",",",", ")))</f>
        <v>         KC_DOT, </v>
      </c>
      <c r="N95" s="41" t="str">
        <f aca="false">IF(N63="TERM","",IF(N63="NONE",REPT(" ",17),REPT(" ",15-LEN(N63))&amp;N63))&amp;IF(OR(N63="TERM",N63="NONE"),"",IF(O63="TERM","",IF(O63="",",",", ")))</f>
        <v>        KC_SLSH, </v>
      </c>
      <c r="O95" s="43" t="str">
        <f aca="false">IF(O63="TERM","",IF(O63="NONE",REPT(" ",17),REPT(" ",15-LEN(O63))&amp;O63))&amp;IF(OR(O63="TERM",O63="NONE"),"",IF(P63="TERM","",IF(P63="",",",", ")))</f>
        <v>        KC_INT1,</v>
      </c>
    </row>
    <row r="96" customFormat="false" ht="21" hidden="false" customHeight="true" outlineLevel="0" collapsed="false">
      <c r="A96" s="34"/>
      <c r="B96" s="44" t="str">
        <f aca="false">IF(B64="TERM","",IF(B64="NONE",REPT(" ",17),REPT(" ",15-LEN(B64))&amp;B64))&amp;IF(OR(B64="TERM",B64="NONE"),"",IF(C64="TERM","",IF(C64="",",",", ")))</f>
        <v>                 </v>
      </c>
      <c r="C96" s="44" t="str">
        <f aca="false">IF(C64="TERM","",IF(C64="NONE",REPT(" ",17),REPT(" ",15-LEN(C64))&amp;C64))&amp;IF(OR(C64="TERM",C64="NONE"),"",IF(D64="TERM","",IF(D64="",",",", ")))</f>
        <v>                 </v>
      </c>
      <c r="D96" s="44" t="str">
        <f aca="false">IF(D64="TERM","",IF(D64="NONE",REPT(" ",17),REPT(" ",15-LEN(D64))&amp;D64))&amp;IF(OR(D64="TERM",D64="NONE"),"",IF(E64="TERM","",IF(E64="",",",", ")))</f>
        <v>                 </v>
      </c>
      <c r="E96" s="45" t="str">
        <f aca="false">IF(E64="TERM","",IF(E64="NONE",REPT(" ",17),REPT(" ",15-LEN(E64))&amp;E64))&amp;IF(OR(E64="TERM",E64="NONE"),"",IF(F64="TERM","",IF(F64="",",",", ")))</f>
        <v>        _______, </v>
      </c>
      <c r="F96" s="45" t="str">
        <f aca="false">IF(F64="TERM","",IF(F64="NONE",REPT(" ",17),REPT(" ",15-LEN(F64))&amp;F64))&amp;IF(OR(F64="TERM",F64="NONE"),"",IF(G64="TERM","",IF(G64="",",",", ")))</f>
        <v>        _______, </v>
      </c>
      <c r="G96" s="45" t="str">
        <f aca="false">IF(G64="TERM","",IF(G64="NONE",REPT(" ",17),REPT(" ",15-LEN(G64))&amp;G64))&amp;IF(OR(G64="TERM",G64="NONE"),"",IF(H64="TERM","",IF(H64="",",",", ")))</f>
        <v>        _______, </v>
      </c>
      <c r="H96" s="45" t="str">
        <f aca="false">IF(H64="TERM","",IF(H64="NONE",REPT(" ",17),REPT(" ",15-LEN(H64))&amp;H64))&amp;IF(OR(H64="TERM",H64="NONE"),"",IF(I64="TERM","",IF(I64="",",",", ")))</f>
        <v>        _______, </v>
      </c>
      <c r="I96" s="45" t="str">
        <f aca="false">IF(I64="TERM","",IF(I64="NONE",REPT(" ",17),REPT(" ",15-LEN(I64))&amp;I64))&amp;IF(OR(I64="TERM",I64="NONE"),"",IF(J64="TERM","",IF(J64="",",",", ")))</f>
        <v>        _______, </v>
      </c>
      <c r="J96" s="45" t="str">
        <f aca="false">IF(J64="TERM","",IF(J64="NONE",REPT(" ",17),REPT(" ",15-LEN(J64))&amp;J64))&amp;IF(OR(J64="TERM",J64="NONE"),"",IF(K64="TERM","",IF(K64="",",",", ")))</f>
        <v>        _______, </v>
      </c>
      <c r="K96" s="45" t="str">
        <f aca="false">IF(K64="TERM","",IF(K64="NONE",REPT(" ",17),REPT(" ",15-LEN(K64))&amp;K64))&amp;IF(OR(K64="TERM",K64="NONE"),"",IF(L64="TERM","",IF(L64="",",",", ")))</f>
        <v>        _______, </v>
      </c>
      <c r="L96" s="45" t="str">
        <f aca="false">IF(L64="TERM","",IF(L64="NONE",REPT(" ",17),REPT(" ",15-LEN(L64))&amp;L64))&amp;IF(OR(L64="TERM",L64="NONE"),"",IF(M64="TERM","",IF(M64="",",",", ")))</f>
        <v>        _______</v>
      </c>
      <c r="M96" s="44" t="str">
        <f aca="false">IF(M64="TERM","",IF(M64="NONE",REPT(" ",17),REPT(" ",15-LEN(M64))&amp;M64))&amp;IF(OR(M64="TERM",M64="NONE"),"",IF(N64="TERM","",IF(N64="",",",", ")))</f>
        <v/>
      </c>
      <c r="N96" s="44" t="str">
        <f aca="false">IF(N64="TERM","",IF(N64="NONE",REPT(" ",17),REPT(" ",15-LEN(N64))&amp;N64))&amp;IF(OR(N64="TERM",N64="NONE"),"",IF(O64="TERM","",IF(O64="",",",", ")))</f>
        <v/>
      </c>
      <c r="O96" s="46" t="str">
        <f aca="false">IF(O64="TERM","",IF(O64="NONE",REPT(" ",17),REPT(" ",15-LEN(O64))&amp;O64))&amp;IF(OR(O64="TERM",O64="NONE"),"",IF(P64="TERM","",IF(P64="",",",", ")))</f>
        <v/>
      </c>
    </row>
    <row r="97" customFormat="false" ht="21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customFormat="false" ht="21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customFormat="false" ht="21" hidden="false" customHeight="true" outlineLevel="0" collapsed="false">
      <c r="A99" s="47" t="s">
        <v>316</v>
      </c>
      <c r="B99" s="48" t="s">
        <v>322</v>
      </c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9"/>
    </row>
    <row r="100" customFormat="false" ht="21" hidden="false" customHeight="true" outlineLevel="0" collapsed="false">
      <c r="A100" s="30"/>
      <c r="B100" s="50" t="str">
        <f aca="false">B67&amp;C67&amp;D67&amp;E67&amp;F67&amp;G67&amp;H67&amp;I67&amp;J67&amp;K67&amp;L67&amp;M67&amp;N67&amp;O67</f>
        <v>         KC_ESC,            KC_1,            KC_2,            KC_3,            KC_4,            KC_5,                                              KC_6,            KC_7,            KC_8,            KC_9,            KC_0,         KC_MINS,</v>
      </c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1"/>
    </row>
    <row r="101" customFormat="false" ht="21" hidden="false" customHeight="true" outlineLevel="0" collapsed="false">
      <c r="A101" s="30"/>
      <c r="B101" s="50" t="str">
        <f aca="false">B68&amp;C68&amp;D68&amp;E68&amp;F68&amp;G68&amp;H68&amp;I68&amp;J68&amp;K68&amp;L68&amp;M68&amp;N68&amp;O68</f>
        <v>        KC_LALT,            KC_Q,            KC_W,            KC_E,            KC_R,            KC_T,                                              KC_Y,            KC_U,            KC_I,            KC_O,            KC_P,         KC_LBRC,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1"/>
    </row>
    <row r="102" customFormat="false" ht="21" hidden="false" customHeight="true" outlineLevel="0" collapsed="false">
      <c r="A102" s="30"/>
      <c r="B102" s="50" t="str">
        <f aca="false">B69&amp;C69&amp;D69&amp;E69&amp;F69&amp;G69&amp;H69&amp;I69&amp;J69&amp;K69&amp;L69&amp;M69&amp;N69&amp;O69</f>
        <v>         KC_TAB,            KC_A,            KC_S,            KC_D,            KC_F,            KC_G,                                              KC_H,            KC_J,            KC_K,            KC_L,         KC_SCLN,         KC_QUOT,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1"/>
    </row>
    <row r="103" customFormat="false" ht="21" hidden="false" customHeight="true" outlineLevel="0" collapsed="false">
      <c r="A103" s="30"/>
      <c r="B103" s="50" t="str">
        <f aca="false">B70&amp;C70&amp;D70&amp;E70&amp;F70&amp;G70&amp;H70&amp;I70&amp;J70&amp;K70&amp;L70&amp;M70&amp;N70&amp;O70</f>
        <v>        KC_LCTL,            KC_Z,            KC_X,            KC_C,            KC_V,            KC_B,         KC_BSPC,          KC_DEL,            KC_N,            KC_M,         KC_COMM,          KC_DOT,         KC_SLSH,         KC_INT1,</v>
      </c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1"/>
    </row>
    <row r="104" customFormat="false" ht="21" hidden="false" customHeight="true" outlineLevel="0" collapsed="false">
      <c r="A104" s="30"/>
      <c r="B104" s="50" t="str">
        <f aca="false">B71&amp;C71&amp;D71&amp;E71&amp;F71&amp;G71&amp;H71&amp;I71&amp;J71&amp;K71&amp;L71&amp;M71&amp;N71&amp;O71</f>
        <v>                                                           KC_LGUI,            TG_R,            MO_R,        LSFT_SPC,        RSTF_ENT,            MO_L,            TG_L,          KC_APP</v>
      </c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1"/>
    </row>
    <row r="105" customFormat="false" ht="21" hidden="false" customHeight="true" outlineLevel="0" collapsed="false">
      <c r="A105" s="34"/>
      <c r="B105" s="52" t="s">
        <v>323</v>
      </c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3"/>
    </row>
    <row r="106" customFormat="false" ht="21" hidden="false" customHeight="true" outlineLevel="0" collapsed="false">
      <c r="A106" s="26" t="s">
        <v>317</v>
      </c>
      <c r="B106" s="54" t="s">
        <v>324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5"/>
    </row>
    <row r="107" customFormat="false" ht="21" hidden="false" customHeight="true" outlineLevel="0" collapsed="false">
      <c r="A107" s="30"/>
      <c r="B107" s="50" t="str">
        <f aca="false">B72&amp;C72&amp;D72&amp;E72&amp;F72&amp;G72&amp;H72&amp;I72&amp;J72&amp;K72&amp;L72&amp;M72&amp;N72&amp;O72</f>
        <v>        _______,         _______,         _______,         _______,         _______,         _______,                                           _______,         _______,         _______,         _______,         _______,         _______,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1"/>
    </row>
    <row r="108" customFormat="false" ht="21" hidden="false" customHeight="true" outlineLevel="0" collapsed="false">
      <c r="A108" s="30"/>
      <c r="B108" s="50" t="str">
        <f aca="false">B73&amp;C73&amp;D73&amp;E73&amp;F73&amp;G73&amp;H73&amp;I73&amp;J73&amp;K73&amp;L73&amp;M73&amp;N73&amp;O73</f>
        <v>         KC_APP,         S(KC_1),         S(KC_2),         S(KC_3),         S(KC_4),         S(KC_5),                                           S(KC_6),         S(KC_7),         S(KC_8),         S(KC_9),         XXXXXXX,         XXXXXXX,</v>
      </c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1"/>
    </row>
    <row r="109" customFormat="false" ht="21" hidden="false" customHeight="true" outlineLevel="0" collapsed="false">
      <c r="A109" s="30"/>
      <c r="B109" s="50" t="str">
        <f aca="false">B74&amp;C74&amp;D74&amp;E74&amp;F74&amp;G74&amp;H74&amp;I74&amp;J74&amp;K74&amp;L74&amp;M74&amp;N74&amp;O74</f>
        <v>        KC_LGUI,         XXXXXXX,         KC_HOME,         KC_PGUP,         KC_PGDN,          KC_END,                                           KC_LEFT,         KC_DOWN,           KC_UP,         KC_RGHT,          KC_EQL,         KC_MINS,</v>
      </c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1"/>
    </row>
    <row r="110" customFormat="false" ht="21" hidden="false" customHeight="true" outlineLevel="0" collapsed="false">
      <c r="A110" s="30"/>
      <c r="B110" s="50" t="str">
        <f aca="false">B75&amp;C75&amp;D75&amp;E75&amp;F75&amp;G75&amp;H75&amp;I75&amp;J75&amp;K75&amp;L75&amp;M75&amp;N75&amp;O75</f>
        <v>        _______,         KC_LALT,         XXXXXXX,         XXXXXXX,         KC_INT5,         KC_BSPC,         _______,         _______,          KC_DEL,         KC_INT4,         KC_RBRC,         KC_BSLS,       S(KC_EQL),      S(KC_INT3),</v>
      </c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1"/>
    </row>
    <row r="111" customFormat="false" ht="21" hidden="false" customHeight="true" outlineLevel="0" collapsed="false">
      <c r="A111" s="30"/>
      <c r="B111" s="50" t="str">
        <f aca="false">B76&amp;C76&amp;D76&amp;E76&amp;F76&amp;G76&amp;H76&amp;I76&amp;J76&amp;K76&amp;L76&amp;M76&amp;N76&amp;O76</f>
        <v>                                                           _______,         _______,         _______,         _______,         _______,         _______,         _______,         _______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1"/>
    </row>
    <row r="112" customFormat="false" ht="21" hidden="false" customHeight="true" outlineLevel="0" collapsed="false">
      <c r="A112" s="34"/>
      <c r="B112" s="52" t="s">
        <v>323</v>
      </c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3"/>
    </row>
    <row r="113" customFormat="false" ht="21" hidden="false" customHeight="true" outlineLevel="0" collapsed="false">
      <c r="A113" s="26" t="s">
        <v>318</v>
      </c>
      <c r="B113" s="54" t="s">
        <v>325</v>
      </c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5"/>
    </row>
    <row r="114" customFormat="false" ht="21" hidden="false" customHeight="true" outlineLevel="0" collapsed="false">
      <c r="A114" s="30"/>
      <c r="B114" s="50" t="str">
        <f aca="false">B77&amp;C77&amp;D77&amp;E77&amp;F77&amp;G77&amp;H77&amp;I77&amp;J77&amp;K77&amp;L77&amp;M77&amp;N77&amp;O77</f>
        <v>          KC_F1,           KC_F2,           KC_F3,           KC_F4,           KC_F5,           KC_F6,                                             KC_F7,           KC_F8,           KC_F9,          KC_F10,          KC_F11,          KC_F12,</v>
      </c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1"/>
    </row>
    <row r="115" customFormat="false" ht="21" hidden="false" customHeight="true" outlineLevel="0" collapsed="false">
      <c r="A115" s="30"/>
      <c r="B115" s="50" t="str">
        <f aca="false">B78&amp;C78&amp;D78&amp;E78&amp;F78&amp;G78&amp;H78&amp;I78&amp;J78&amp;K78&amp;L78&amp;M78&amp;N78&amp;O78</f>
        <v>        XXXXXXX,         XXXXXXX,         XXXXXXX,         XXXXXXX,         XXXXXXX,         XXXXXXX,                                           XXXXXXX,         XXXXXXX,         XXXXXXX,         XXXXXXX,         XXXXXXX,         XXXXXXX,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1"/>
    </row>
    <row r="116" customFormat="false" ht="21" hidden="false" customHeight="true" outlineLevel="0" collapsed="false">
      <c r="A116" s="30"/>
      <c r="B116" s="50" t="str">
        <f aca="false">B79&amp;C79&amp;D79&amp;E79&amp;F79&amp;G79&amp;H79&amp;I79&amp;J79&amp;K79&amp;L79&amp;M79&amp;N79&amp;O79</f>
        <v>         KC_GRV,            KC_1,            KC_2,            KC_3,            KC_4,            KC_5,                                              KC_6,            KC_7,            KC_8,            KC_9,            KC_0,         _______,</v>
      </c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1"/>
    </row>
    <row r="117" customFormat="false" ht="21" hidden="false" customHeight="true" outlineLevel="0" collapsed="false">
      <c r="A117" s="30"/>
      <c r="B117" s="50" t="str">
        <f aca="false">B80&amp;C80&amp;D80&amp;E80&amp;F80&amp;G80&amp;H80&amp;I80&amp;J80&amp;K80&amp;L80&amp;M80&amp;N80&amp;O80</f>
        <v>        _______,         _______,         MS_WHLL,         MS_WHLR,         _______,         _______,         _______,         _______,         _______,         _______,         KC_COMM,          KC_DOT,         KC_SLSH,         KC_INT1,</v>
      </c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1"/>
    </row>
    <row r="118" customFormat="false" ht="21" hidden="false" customHeight="true" outlineLevel="0" collapsed="false">
      <c r="A118" s="30"/>
      <c r="B118" s="50" t="str">
        <f aca="false">B81&amp;C81&amp;D81&amp;E81&amp;F81&amp;G81&amp;H81&amp;I81&amp;J81&amp;K81&amp;L81&amp;M81&amp;N81&amp;O81</f>
        <v>                                                           _______,         _______,         _______,         _______,         _______,         _______,         _______,         _______</v>
      </c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1"/>
    </row>
    <row r="119" customFormat="false" ht="21" hidden="false" customHeight="true" outlineLevel="0" collapsed="false">
      <c r="A119" s="34"/>
      <c r="B119" s="52" t="s">
        <v>323</v>
      </c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3"/>
    </row>
    <row r="120" customFormat="false" ht="21" hidden="false" customHeight="true" outlineLevel="0" collapsed="false">
      <c r="A120" s="26" t="s">
        <v>319</v>
      </c>
      <c r="B120" s="54" t="s">
        <v>326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5"/>
    </row>
    <row r="121" customFormat="false" ht="21" hidden="false" customHeight="true" outlineLevel="0" collapsed="false">
      <c r="A121" s="30"/>
      <c r="B121" s="50" t="str">
        <f aca="false">B82&amp;C82&amp;D82&amp;E82&amp;F82&amp;G82&amp;H82&amp;I82&amp;J82&amp;K82&amp;L82&amp;M82&amp;N82&amp;O82</f>
        <v>         KC_ESC,            KC_1,            KC_2,            KC_3,            KC_4,            KC_5,                                              KC_6,            KC_7,            KC_8,            KC_9,            KC_0,         KC_MINS,</v>
      </c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1"/>
    </row>
    <row r="122" customFormat="false" ht="21" hidden="false" customHeight="true" outlineLevel="0" collapsed="false">
      <c r="A122" s="30"/>
      <c r="B122" s="50" t="str">
        <f aca="false">B83&amp;C83&amp;D83&amp;E83&amp;F83&amp;G83&amp;H83&amp;I83&amp;J83&amp;K83&amp;L83&amp;M83&amp;N83&amp;O83</f>
        <v>         KC_TAB,            KC_Q,            KC_W,            KC_E,            KC_R,            KC_T,                                              KC_Y,            KC_U,            KC_I,            KC_O,            KC_P,         KC_LBRC,</v>
      </c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1"/>
    </row>
    <row r="123" customFormat="false" ht="21" hidden="false" customHeight="true" outlineLevel="0" collapsed="false">
      <c r="A123" s="30"/>
      <c r="B123" s="50" t="str">
        <f aca="false">B84&amp;C84&amp;D84&amp;E84&amp;F84&amp;G84&amp;H84&amp;I84&amp;J84&amp;K84&amp;L84&amp;M84&amp;N84&amp;O84</f>
        <v>        KC_LCTL,            KC_A,            KC_S,            KC_D,            KC_F,            KC_G,                                              KC_H,            KC_J,            KC_K,            KC_L,         KC_SCLN,         KC_QUOT,</v>
      </c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1"/>
    </row>
    <row r="124" customFormat="false" ht="21" hidden="false" customHeight="true" outlineLevel="0" collapsed="false">
      <c r="A124" s="30"/>
      <c r="B124" s="50" t="str">
        <f aca="false">B85&amp;C85&amp;D85&amp;E85&amp;F85&amp;G85&amp;H85&amp;I85&amp;J85&amp;K85&amp;L85&amp;M85&amp;N85&amp;O85</f>
        <v>        KC_LSFT,            KC_Z,            KC_X,            KC_C,            KC_V,            KC_B,         _______,         _______,            KC_N,            KC_M,         _______,         _______,         _______,         _______,</v>
      </c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1"/>
    </row>
    <row r="125" customFormat="false" ht="21" hidden="false" customHeight="true" outlineLevel="0" collapsed="false">
      <c r="A125" s="30"/>
      <c r="B125" s="50" t="str">
        <f aca="false">B86&amp;C86&amp;D86&amp;E86&amp;F86&amp;G86&amp;H86&amp;I86&amp;J86&amp;K86&amp;L86&amp;M86&amp;N86&amp;O86</f>
        <v>                                                           _______,            TG_R,          KC_SPC,           MO_RA,           MO_LA,          KC_ENT,            TG_L,         _______</v>
      </c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1"/>
    </row>
    <row r="126" customFormat="false" ht="21" hidden="false" customHeight="true" outlineLevel="0" collapsed="false">
      <c r="A126" s="56"/>
      <c r="B126" s="57" t="s">
        <v>323</v>
      </c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8"/>
    </row>
    <row r="127" customFormat="false" ht="21" hidden="false" customHeight="true" outlineLevel="0" collapsed="false">
      <c r="A127" s="26" t="s">
        <v>320</v>
      </c>
      <c r="B127" s="54" t="s">
        <v>327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5"/>
    </row>
    <row r="128" customFormat="false" ht="21" hidden="false" customHeight="true" outlineLevel="0" collapsed="false">
      <c r="A128" s="30"/>
      <c r="B128" s="50" t="str">
        <f aca="false">B87&amp;C87&amp;D87&amp;E87&amp;F87&amp;G87&amp;H87&amp;I87&amp;J87&amp;K87&amp;L87&amp;M87&amp;N87&amp;O87</f>
        <v>        _______,         _______,         _______,         _______,         _______,         _______,                                           _______,         _______,         _______,         _______,         _______,         _______,</v>
      </c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1"/>
    </row>
    <row r="129" customFormat="false" ht="21" hidden="false" customHeight="true" outlineLevel="0" collapsed="false">
      <c r="A129" s="30"/>
      <c r="B129" s="50" t="str">
        <f aca="false">B88&amp;C88&amp;D88&amp;E88&amp;F88&amp;G88&amp;H88&amp;I88&amp;J88&amp;K88&amp;L88&amp;M88&amp;N88&amp;O88</f>
        <v>        XXXXXXX,         S(KC_1),         S(KC_2),         S(KC_3),         S(KC_4),         S(KC_5),                                           S(KC_6),         S(KC_7),         S(KC_8),         S(KC_9),         XXXXXXX,         XXXXXXX,</v>
      </c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1"/>
    </row>
    <row r="130" customFormat="false" ht="21" hidden="false" customHeight="true" outlineLevel="0" collapsed="false">
      <c r="A130" s="30"/>
      <c r="B130" s="50" t="str">
        <f aca="false">B89&amp;C89&amp;D89&amp;E89&amp;F89&amp;G89&amp;H89&amp;I89&amp;J89&amp;K89&amp;L89&amp;M89&amp;N89&amp;O89</f>
        <v>        XXXXXXX,         XXXXXXX,         KC_HOME,         KC_PGUP,         KC_PGDN,          KC_END,                                           KC_LEFT,         KC_DOWN,           KC_UP,         KC_RGHT,          KC_EQL,         KC_MINS,</v>
      </c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1"/>
    </row>
    <row r="131" customFormat="false" ht="21" hidden="false" customHeight="true" outlineLevel="0" collapsed="false">
      <c r="A131" s="30"/>
      <c r="B131" s="50" t="str">
        <f aca="false">B90&amp;C90&amp;D90&amp;E90&amp;F90&amp;G90&amp;H90&amp;I90&amp;J90&amp;K90&amp;L90&amp;M90&amp;N90&amp;O90</f>
        <v>        KC_LCTL,         KC_LALT,         XXXXXXX,         XXXXXXX,         KC_INT5,         KC_BSPC,         _______,         _______,          KC_DEL,         KC_INT4,         KC_RBRC,         KC_BSLS,       S(KC_EQL),      S(KC_INT3),</v>
      </c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1"/>
    </row>
    <row r="132" customFormat="false" ht="21" hidden="false" customHeight="true" outlineLevel="0" collapsed="false">
      <c r="A132" s="30"/>
      <c r="B132" s="50" t="str">
        <f aca="false">B91&amp;C91&amp;D91&amp;E91&amp;F91&amp;G91&amp;H91&amp;I91&amp;J91&amp;K91&amp;L91&amp;M91&amp;N91&amp;O91</f>
        <v>                                                           _______,         _______,         _______,         _______,         _______,         _______,         _______,         _______</v>
      </c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1"/>
    </row>
    <row r="133" customFormat="false" ht="21" hidden="false" customHeight="true" outlineLevel="0" collapsed="false">
      <c r="A133" s="34"/>
      <c r="B133" s="52" t="s">
        <v>323</v>
      </c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3"/>
    </row>
    <row r="134" customFormat="false" ht="21" hidden="false" customHeight="true" outlineLevel="0" collapsed="false">
      <c r="A134" s="26" t="s">
        <v>321</v>
      </c>
      <c r="B134" s="54" t="s">
        <v>328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5"/>
    </row>
    <row r="135" customFormat="false" ht="21" hidden="false" customHeight="true" outlineLevel="0" collapsed="false">
      <c r="A135" s="30"/>
      <c r="B135" s="50" t="str">
        <f aca="false">B92&amp;C92&amp;D92&amp;E92&amp;F92&amp;G92&amp;H92&amp;I92&amp;J92&amp;K92&amp;L92&amp;M92&amp;N92&amp;O92</f>
        <v>          KC_F1,           KC_F2,           KC_F3,           KC_F4,           KC_F5,           KC_F6,                                             KC_F7,           KC_F8,           KC_F9,          KC_F10,          KC_F11,          KC_F12,</v>
      </c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1"/>
    </row>
    <row r="136" customFormat="false" ht="21" hidden="false" customHeight="true" outlineLevel="0" collapsed="false">
      <c r="A136" s="30"/>
      <c r="B136" s="50" t="str">
        <f aca="false">B93&amp;C93&amp;D93&amp;E93&amp;F93&amp;G93&amp;H93&amp;I93&amp;J93&amp;K93&amp;L93&amp;M93&amp;N93&amp;O93</f>
        <v>        XXXXXXX,         XXXXXXX,         XXXXXXX,         XXXXXXX,         XXXXXXX,         XXXXXXX,                                           XXXXXXX,         XXXXXXX,         XXXXXXX,         XXXXXXX,         XXXXXXX,         XXXXXXX,</v>
      </c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1"/>
    </row>
    <row r="137" customFormat="false" ht="21" hidden="false" customHeight="true" outlineLevel="0" collapsed="false">
      <c r="A137" s="30"/>
      <c r="B137" s="50" t="str">
        <f aca="false">B94&amp;C94&amp;D94&amp;E94&amp;F94&amp;G94&amp;H94&amp;I94&amp;J94&amp;K94&amp;L94&amp;M94&amp;N94&amp;O94</f>
        <v>        XXXXXXX,            KC_1,            KC_2,            KC_3,            KC_4,            KC_5,                                              KC_6,            KC_7,            KC_8,            KC_9,            KC_0,         _______,</v>
      </c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1"/>
    </row>
    <row r="138" customFormat="false" ht="21" hidden="false" customHeight="true" outlineLevel="0" collapsed="false">
      <c r="A138" s="30"/>
      <c r="B138" s="50" t="str">
        <f aca="false">B95&amp;C95&amp;D95&amp;E95&amp;F95&amp;G95&amp;H95&amp;I95&amp;J95&amp;K95&amp;L95&amp;M95&amp;N95&amp;O95</f>
        <v>        _______,         _______,         KC_VOLD,         KC_VOLU,         _______,         _______,         _______,         _______,         _______,         _______,         KC_COMM,          KC_DOT,         KC_SLSH,         KC_INT1,</v>
      </c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1"/>
    </row>
    <row r="139" customFormat="false" ht="21" hidden="false" customHeight="true" outlineLevel="0" collapsed="false">
      <c r="A139" s="30"/>
      <c r="B139" s="50" t="str">
        <f aca="false">B96&amp;C96&amp;D96&amp;E96&amp;F96&amp;G96&amp;H96&amp;I96&amp;J96&amp;K96&amp;L96&amp;M96&amp;N96&amp;O96</f>
        <v>                                                           _______,         _______,         _______,         _______,         _______,         _______,         _______,         _______</v>
      </c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1"/>
    </row>
    <row r="140" customFormat="false" ht="21" hidden="false" customHeight="true" outlineLevel="0" collapsed="false">
      <c r="A140" s="56"/>
      <c r="B140" s="57" t="s">
        <v>329</v>
      </c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8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2023-09-02T08:05:54Z</dcterms:created>
  <dc:creator/>
  <dc:description/>
  <dc:language>ja-JP</dc:language>
  <cp:lastModifiedBy/>
  <dcterms:modified xsi:type="dcterms:W3CDTF">2025-11-02T16:53:18Z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